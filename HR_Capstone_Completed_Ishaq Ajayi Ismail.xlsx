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r easynett\Desktop\PROJECTS\Excel-Capstone-Project\data\"/>
    </mc:Choice>
  </mc:AlternateContent>
  <xr:revisionPtr revIDLastSave="0" documentId="13_ncr:1_{CA507850-C5B4-41CB-9216-7ACBA6D728D5}" xr6:coauthVersionLast="47" xr6:coauthVersionMax="47" xr10:uidLastSave="{00000000-0000-0000-0000-000000000000}"/>
  <bookViews>
    <workbookView xWindow="-120" yWindow="-120" windowWidth="20730" windowHeight="11160" tabRatio="757" activeTab="5" xr2:uid="{00000000-000D-0000-FFFF-FFFF00000000}"/>
  </bookViews>
  <sheets>
    <sheet name="Raw_Employee_Data" sheetId="1" r:id="rId1"/>
    <sheet name="Lookup_Departments" sheetId="2" r:id="rId2"/>
    <sheet name="Lookup_Performance" sheetId="3" r:id="rId3"/>
    <sheet name="Analysis" sheetId="6" r:id="rId4"/>
    <sheet name="Pivot Chart" sheetId="7" r:id="rId5"/>
    <sheet name="Dashboard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6" l="1"/>
  <c r="K7" i="6"/>
  <c r="K8" i="6"/>
  <c r="K9" i="6"/>
  <c r="K10" i="6"/>
  <c r="K11" i="6"/>
  <c r="K5" i="6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</calcChain>
</file>

<file path=xl/sharedStrings.xml><?xml version="1.0" encoding="utf-8"?>
<sst xmlns="http://schemas.openxmlformats.org/spreadsheetml/2006/main" count="678" uniqueCount="309">
  <si>
    <t>Emp ID</t>
  </si>
  <si>
    <t>Dept Code</t>
  </si>
  <si>
    <t>Hire Date</t>
  </si>
  <si>
    <t>Salary</t>
  </si>
  <si>
    <t>Perf_Score</t>
  </si>
  <si>
    <t>Employment Status</t>
  </si>
  <si>
    <t>EMP127</t>
  </si>
  <si>
    <t>Brown</t>
  </si>
  <si>
    <t>IT02</t>
  </si>
  <si>
    <t>EMP046</t>
  </si>
  <si>
    <t>MKT04</t>
  </si>
  <si>
    <t>EMP134</t>
  </si>
  <si>
    <t>EMP139</t>
  </si>
  <si>
    <t>FIN03</t>
  </si>
  <si>
    <t>EMP112</t>
  </si>
  <si>
    <t>Smith</t>
  </si>
  <si>
    <t>EMP030</t>
  </si>
  <si>
    <t>OPS06</t>
  </si>
  <si>
    <t>EMP096</t>
  </si>
  <si>
    <t>EMP098</t>
  </si>
  <si>
    <t>EMP095</t>
  </si>
  <si>
    <t>Rodriguez</t>
  </si>
  <si>
    <t>EMP140</t>
  </si>
  <si>
    <t>SAL05</t>
  </si>
  <si>
    <t>EMP020</t>
  </si>
  <si>
    <t>EMP057</t>
  </si>
  <si>
    <t>EMP016</t>
  </si>
  <si>
    <t>Williams</t>
  </si>
  <si>
    <t>EMP070</t>
  </si>
  <si>
    <t>EMP025</t>
  </si>
  <si>
    <t>Jones</t>
  </si>
  <si>
    <t>EMP031</t>
  </si>
  <si>
    <t>EMP126</t>
  </si>
  <si>
    <t>EMP109</t>
  </si>
  <si>
    <t>EMP066</t>
  </si>
  <si>
    <t>EMP120</t>
  </si>
  <si>
    <t>EMP019</t>
  </si>
  <si>
    <t>EMP013</t>
  </si>
  <si>
    <t>EMP010</t>
  </si>
  <si>
    <t>EMP032</t>
  </si>
  <si>
    <t>EMP082</t>
  </si>
  <si>
    <t>EMP052</t>
  </si>
  <si>
    <t>EMP129</t>
  </si>
  <si>
    <t>EMP146</t>
  </si>
  <si>
    <t>EMP099</t>
  </si>
  <si>
    <t>EMP015</t>
  </si>
  <si>
    <t>EMP076</t>
  </si>
  <si>
    <t>EMP137</t>
  </si>
  <si>
    <t>EMP056</t>
  </si>
  <si>
    <t>EMP125</t>
  </si>
  <si>
    <t>HR01</t>
  </si>
  <si>
    <t>EMP085</t>
  </si>
  <si>
    <t>EMP106</t>
  </si>
  <si>
    <t>EMP043</t>
  </si>
  <si>
    <t>EMP068</t>
  </si>
  <si>
    <t>EMP128</t>
  </si>
  <si>
    <t>EMP027</t>
  </si>
  <si>
    <t>EMP136</t>
  </si>
  <si>
    <t>EMP079</t>
  </si>
  <si>
    <t>EMP149</t>
  </si>
  <si>
    <t>EMP037</t>
  </si>
  <si>
    <t>EMP077</t>
  </si>
  <si>
    <t>EMP023</t>
  </si>
  <si>
    <t>EMP133</t>
  </si>
  <si>
    <t>EMP141</t>
  </si>
  <si>
    <t>EMP012</t>
  </si>
  <si>
    <t>EMP080</t>
  </si>
  <si>
    <t>EMP069</t>
  </si>
  <si>
    <t>EMP150</t>
  </si>
  <si>
    <t>EMP028</t>
  </si>
  <si>
    <t>EMP087</t>
  </si>
  <si>
    <t>EMP119</t>
  </si>
  <si>
    <t>EMP042</t>
  </si>
  <si>
    <t>EMP005</t>
  </si>
  <si>
    <t>EMP033</t>
  </si>
  <si>
    <t>EMP061</t>
  </si>
  <si>
    <t>EMP102</t>
  </si>
  <si>
    <t>EMP067</t>
  </si>
  <si>
    <t>EMP017</t>
  </si>
  <si>
    <t>EMP123</t>
  </si>
  <si>
    <t>EMP011</t>
  </si>
  <si>
    <t>EMP091</t>
  </si>
  <si>
    <t>EMP145</t>
  </si>
  <si>
    <t>EMP001</t>
  </si>
  <si>
    <t>EMP113</t>
  </si>
  <si>
    <t>EMP065</t>
  </si>
  <si>
    <t>EMP045</t>
  </si>
  <si>
    <t>EMP083</t>
  </si>
  <si>
    <t>EMP029</t>
  </si>
  <si>
    <t>EMP041</t>
  </si>
  <si>
    <t>EMP026</t>
  </si>
  <si>
    <t>EMP024</t>
  </si>
  <si>
    <t>EMP111</t>
  </si>
  <si>
    <t>EMP040</t>
  </si>
  <si>
    <t>EMP086</t>
  </si>
  <si>
    <t>EMP124</t>
  </si>
  <si>
    <t>EMP132</t>
  </si>
  <si>
    <t>EMP048</t>
  </si>
  <si>
    <t>EMP114</t>
  </si>
  <si>
    <t>EMP062</t>
  </si>
  <si>
    <t>EMP074</t>
  </si>
  <si>
    <t>EMP034</t>
  </si>
  <si>
    <t>EMP105</t>
  </si>
  <si>
    <t>EMP118</t>
  </si>
  <si>
    <t>EMP063</t>
  </si>
  <si>
    <t>EMP094</t>
  </si>
  <si>
    <t>EMP097</t>
  </si>
  <si>
    <t>EMP054</t>
  </si>
  <si>
    <t>EMP006</t>
  </si>
  <si>
    <t>EMP110</t>
  </si>
  <si>
    <t>EMP147</t>
  </si>
  <si>
    <t>EMP050</t>
  </si>
  <si>
    <t>EMP036</t>
  </si>
  <si>
    <t>EMP081</t>
  </si>
  <si>
    <t>EMP078</t>
  </si>
  <si>
    <t>EMP035</t>
  </si>
  <si>
    <t>EMP047</t>
  </si>
  <si>
    <t>EMP008</t>
  </si>
  <si>
    <t>EMP044</t>
  </si>
  <si>
    <t>EMP071</t>
  </si>
  <si>
    <t>EMP115</t>
  </si>
  <si>
    <t>EMP092</t>
  </si>
  <si>
    <t>EMP084</t>
  </si>
  <si>
    <t>EMP142</t>
  </si>
  <si>
    <t>EMP143</t>
  </si>
  <si>
    <t>EMP090</t>
  </si>
  <si>
    <t>EMP009</t>
  </si>
  <si>
    <t>EMP014</t>
  </si>
  <si>
    <t>EMP060</t>
  </si>
  <si>
    <t>EMP135</t>
  </si>
  <si>
    <t>EMP004</t>
  </si>
  <si>
    <t>EMP018</t>
  </si>
  <si>
    <t>EMP039</t>
  </si>
  <si>
    <t>EMP073</t>
  </si>
  <si>
    <t>EMP138</t>
  </si>
  <si>
    <t>EMP007</t>
  </si>
  <si>
    <t>EMP144</t>
  </si>
  <si>
    <t>EMP101</t>
  </si>
  <si>
    <t>EMP003</t>
  </si>
  <si>
    <t>EMP121</t>
  </si>
  <si>
    <t>EMP064</t>
  </si>
  <si>
    <t>EMP116</t>
  </si>
  <si>
    <t>EMP055</t>
  </si>
  <si>
    <t>EMP108</t>
  </si>
  <si>
    <t>EMP051</t>
  </si>
  <si>
    <t>EMP059</t>
  </si>
  <si>
    <t>EMP049</t>
  </si>
  <si>
    <t>EMP089</t>
  </si>
  <si>
    <t>EMP022</t>
  </si>
  <si>
    <t>EMP058</t>
  </si>
  <si>
    <t>EMP130</t>
  </si>
  <si>
    <t>EMP038</t>
  </si>
  <si>
    <t>EMP148</t>
  </si>
  <si>
    <t>EMP002</t>
  </si>
  <si>
    <t>EMP053</t>
  </si>
  <si>
    <t>EMP131</t>
  </si>
  <si>
    <t>EMP104</t>
  </si>
  <si>
    <t>EMP100</t>
  </si>
  <si>
    <t>EMP117</t>
  </si>
  <si>
    <t>EMP088</t>
  </si>
  <si>
    <t>EMP075</t>
  </si>
  <si>
    <t>EMP122</t>
  </si>
  <si>
    <t>EMP021</t>
  </si>
  <si>
    <t>EMP072</t>
  </si>
  <si>
    <t>EMP107</t>
  </si>
  <si>
    <t>EMP093</t>
  </si>
  <si>
    <t>EMP103</t>
  </si>
  <si>
    <t>Dept_Code</t>
  </si>
  <si>
    <t>Department_Name</t>
  </si>
  <si>
    <t>Human Resources</t>
  </si>
  <si>
    <t>Information Technology</t>
  </si>
  <si>
    <t>Finance</t>
  </si>
  <si>
    <t>Marketing</t>
  </si>
  <si>
    <t>Sales</t>
  </si>
  <si>
    <t>Operations</t>
  </si>
  <si>
    <t>Min_Score</t>
  </si>
  <si>
    <t>Max_Score</t>
  </si>
  <si>
    <t>Performance_Band</t>
  </si>
  <si>
    <t>Bonus_Percentage</t>
  </si>
  <si>
    <t>Needs Improvement</t>
  </si>
  <si>
    <t>Developing</t>
  </si>
  <si>
    <t>Achieving</t>
  </si>
  <si>
    <t>Exceeding</t>
  </si>
  <si>
    <t>Outstanding</t>
  </si>
  <si>
    <t>Full Name</t>
  </si>
  <si>
    <t>Emily Brown</t>
  </si>
  <si>
    <t>Richard Hernandez</t>
  </si>
  <si>
    <t>Emily Gonzalez</t>
  </si>
  <si>
    <t>John Martinez</t>
  </si>
  <si>
    <t>Thomas Smith</t>
  </si>
  <si>
    <t>Emily Johnson</t>
  </si>
  <si>
    <t>John Wilson</t>
  </si>
  <si>
    <t>Jessica Smith</t>
  </si>
  <si>
    <t>Michael Martinez</t>
  </si>
  <si>
    <t>Emily Miller</t>
  </si>
  <si>
    <t>Emily Hernandez</t>
  </si>
  <si>
    <t>Jane Williams</t>
  </si>
  <si>
    <t>Jane Miller</t>
  </si>
  <si>
    <t>Robert Jones</t>
  </si>
  <si>
    <t>Thomas Rodriguez</t>
  </si>
  <si>
    <t>Emily Davis</t>
  </si>
  <si>
    <t>James Martinez</t>
  </si>
  <si>
    <t>Ashley Lopez</t>
  </si>
  <si>
    <t>Amanda Gonzalez</t>
  </si>
  <si>
    <t>Michael Hernandez</t>
  </si>
  <si>
    <t>Michael Rodriguez</t>
  </si>
  <si>
    <t>Jessica Johnson</t>
  </si>
  <si>
    <t>Ashley Williams</t>
  </si>
  <si>
    <t>Michael Wilson</t>
  </si>
  <si>
    <t>John Rodriguez</t>
  </si>
  <si>
    <t>Thomas Hernandez</t>
  </si>
  <si>
    <t>Michael Johnson</t>
  </si>
  <si>
    <t>Sarah Brown</t>
  </si>
  <si>
    <t>Jane Martinez</t>
  </si>
  <si>
    <t>Emily Jones</t>
  </si>
  <si>
    <t>Melissa Brown</t>
  </si>
  <si>
    <t>Michael Smith</t>
  </si>
  <si>
    <t>Sarah Miller</t>
  </si>
  <si>
    <t>Emily Wilson</t>
  </si>
  <si>
    <t>David Hernandez</t>
  </si>
  <si>
    <t>James Smith</t>
  </si>
  <si>
    <t>Sarah Williams</t>
  </si>
  <si>
    <t>Amanda Lopez</t>
  </si>
  <si>
    <t>Thomas Lopez</t>
  </si>
  <si>
    <t>Melissa Johnson</t>
  </si>
  <si>
    <t>Amanda Johnson</t>
  </si>
  <si>
    <t>John Davis</t>
  </si>
  <si>
    <t>James Johnson</t>
  </si>
  <si>
    <t>Jane Davis</t>
  </si>
  <si>
    <t>Richard Davis</t>
  </si>
  <si>
    <t>Emily Garcia</t>
  </si>
  <si>
    <t>Jane Anderson</t>
  </si>
  <si>
    <t>Thomas Garcia</t>
  </si>
  <si>
    <t>David Martinez</t>
  </si>
  <si>
    <t>Michael Anderson</t>
  </si>
  <si>
    <t>Robert Johnson</t>
  </si>
  <si>
    <t>Robert Miller</t>
  </si>
  <si>
    <t>Thomas Davis</t>
  </si>
  <si>
    <t>Thomas Jones</t>
  </si>
  <si>
    <t>Michael Miller</t>
  </si>
  <si>
    <t>Richard Gonzalez</t>
  </si>
  <si>
    <t>Melissa Williams</t>
  </si>
  <si>
    <t>William Garcia</t>
  </si>
  <si>
    <t>John Gonzalez</t>
  </si>
  <si>
    <t>James Gonzalez</t>
  </si>
  <si>
    <t>Jane Gonzalez</t>
  </si>
  <si>
    <t>David Wilson</t>
  </si>
  <si>
    <t>Jane Rodriguez</t>
  </si>
  <si>
    <t>Jessica Garcia</t>
  </si>
  <si>
    <t>Richard Smith</t>
  </si>
  <si>
    <t>Melissa Wilson</t>
  </si>
  <si>
    <t>Thomas Williams</t>
  </si>
  <si>
    <t>David Williams</t>
  </si>
  <si>
    <t>John Johnson</t>
  </si>
  <si>
    <t>Melissa Anderson</t>
  </si>
  <si>
    <t>William Gonzalez</t>
  </si>
  <si>
    <t>Jessica Anderson</t>
  </si>
  <si>
    <t>Thomas Miller</t>
  </si>
  <si>
    <t>Jane Johnson</t>
  </si>
  <si>
    <t>John Jones</t>
  </si>
  <si>
    <t>Jane Lopez</t>
  </si>
  <si>
    <t>Melissa Gonzalez</t>
  </si>
  <si>
    <t>William Davis</t>
  </si>
  <si>
    <t>John Smith</t>
  </si>
  <si>
    <t>William Williams</t>
  </si>
  <si>
    <t>James Jones</t>
  </si>
  <si>
    <t>Jessica Gonzalez</t>
  </si>
  <si>
    <t>Amanda Brown</t>
  </si>
  <si>
    <t>Robert Martinez</t>
  </si>
  <si>
    <t>David Rodriguez</t>
  </si>
  <si>
    <t>James Rodriguez</t>
  </si>
  <si>
    <t>Sarah Rodriguez</t>
  </si>
  <si>
    <t>Sarah Wilson</t>
  </si>
  <si>
    <t>Robert Williams</t>
  </si>
  <si>
    <t>Melissa Rodriguez</t>
  </si>
  <si>
    <t>William Jones</t>
  </si>
  <si>
    <t>David Anderson</t>
  </si>
  <si>
    <t>Sarah Smith</t>
  </si>
  <si>
    <t>Melissa Hernandez</t>
  </si>
  <si>
    <t>Jane Garcia</t>
  </si>
  <si>
    <t>David Davis</t>
  </si>
  <si>
    <t>James Wilson</t>
  </si>
  <si>
    <t>Richard Johnson</t>
  </si>
  <si>
    <t>Richard Williams</t>
  </si>
  <si>
    <t>John Hernandez</t>
  </si>
  <si>
    <t>Sarah Gonzalez</t>
  </si>
  <si>
    <t>William Rodriguez</t>
  </si>
  <si>
    <t>Melissa Miller</t>
  </si>
  <si>
    <t>Emily Martinez</t>
  </si>
  <si>
    <t>ACTIVE</t>
  </si>
  <si>
    <t>LEFT</t>
  </si>
  <si>
    <t>RESIGNED</t>
  </si>
  <si>
    <t>Department Name</t>
  </si>
  <si>
    <t>Years of Service</t>
  </si>
  <si>
    <t>Performance Band</t>
  </si>
  <si>
    <t>Eligible Bonus Amount</t>
  </si>
  <si>
    <t>Column Labels</t>
  </si>
  <si>
    <t>Grand Total</t>
  </si>
  <si>
    <t>Count of Emp ID</t>
  </si>
  <si>
    <t>Row Labels</t>
  </si>
  <si>
    <t>Total Head Count</t>
  </si>
  <si>
    <t>Average of Salary</t>
  </si>
  <si>
    <t>Average Salary by Department</t>
  </si>
  <si>
    <t>Attrition By Department</t>
  </si>
  <si>
    <t>Attrition Rate</t>
  </si>
  <si>
    <t>Average of Perf_Score</t>
  </si>
  <si>
    <t>Average Performance By Status</t>
  </si>
  <si>
    <t>Sum of Eligible Bonus Amount</t>
  </si>
  <si>
    <t>Projected Bonus Payout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</si>
</sst>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 applyAlignment="1"/>
    <xf numFmtId="0" fontId="0" fillId="0" borderId="0" xfId="0" pivotButton="1"/>
    <xf numFmtId="164" fontId="0" fillId="0" borderId="0" xfId="0" applyNumberFormat="1"/>
    <xf numFmtId="0" fontId="3" fillId="2" borderId="0" xfId="0" applyFont="1" applyFill="1"/>
    <xf numFmtId="0" fontId="4" fillId="0" borderId="0" xfId="0" applyFont="1"/>
    <xf numFmtId="9" fontId="0" fillId="0" borderId="0" xfId="2" applyFont="1"/>
    <xf numFmtId="2" fontId="0" fillId="0" borderId="0" xfId="0" applyNumberFormat="1"/>
    <xf numFmtId="1" fontId="0" fillId="0" borderId="0" xfId="0" applyNumberFormat="1"/>
    <xf numFmtId="0" fontId="3" fillId="2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7">
    <dxf>
      <numFmt numFmtId="2" formatCode="0.00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" formatCode="0"/>
    </dxf>
    <dxf>
      <numFmt numFmtId="0" formatCode="General"/>
    </dxf>
    <dxf>
      <numFmt numFmtId="164" formatCode="_(&quot;$&quot;* #,##0_);_(&quot;$&quot;* \(#,##0\);_(&quot;$&quot;* &quot;-&quot;??_);_(@_)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[HR_Capstone_Completed_Ishaq Ajayi Ismail.xlsx]Analysis!PivotTable3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Average Salary By Department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30A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Analysis!$C$4:$C$10</c:f>
              <c:strCache>
                <c:ptCount val="6"/>
                <c:pt idx="0">
                  <c:v>Operations</c:v>
                </c:pt>
                <c:pt idx="1">
                  <c:v>Information Technology</c:v>
                </c:pt>
                <c:pt idx="2">
                  <c:v>Marketing</c:v>
                </c:pt>
                <c:pt idx="3">
                  <c:v>Sales</c:v>
                </c:pt>
                <c:pt idx="4">
                  <c:v>Human Resources</c:v>
                </c:pt>
                <c:pt idx="5">
                  <c:v>Finance</c:v>
                </c:pt>
              </c:strCache>
            </c:strRef>
          </c:cat>
          <c:val>
            <c:numRef>
              <c:f>Analysis!$D$4:$D$10</c:f>
              <c:numCache>
                <c:formatCode>_("$"* #,##0_);_("$"* \(#,##0\);_("$"* "-"??_);_(@_)</c:formatCode>
                <c:ptCount val="6"/>
                <c:pt idx="0">
                  <c:v>79751.103448275855</c:v>
                </c:pt>
                <c:pt idx="1">
                  <c:v>79911.027777777781</c:v>
                </c:pt>
                <c:pt idx="2">
                  <c:v>85179.894736842107</c:v>
                </c:pt>
                <c:pt idx="3">
                  <c:v>85214.903225806454</c:v>
                </c:pt>
                <c:pt idx="4">
                  <c:v>85295.555555555562</c:v>
                </c:pt>
                <c:pt idx="5">
                  <c:v>86408.941176470587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A-476B-A24C-68C2620E7A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0609328"/>
        <c:axId val="1040617232"/>
      </c:barChart>
      <c:catAx>
        <c:axId val="1040609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17232"/>
        <c:crosses val="autoZero"/>
        <c:auto val="1"/>
        <c:lblAlgn val="ctr"/>
        <c:lblOffset val="100"/>
        <c:noMultiLvlLbl val="0"/>
      </c:catAx>
      <c:valAx>
        <c:axId val="1040617232"/>
        <c:scaling>
          <c:orientation val="minMax"/>
        </c:scaling>
        <c:delete val="0"/>
        <c:axPos val="b"/>
        <c:numFmt formatCode="_(&quot;$&quot;* #,##0_);_(&quot;$&quot;* \(#,##0\);_(&quot;$&quot;* &quot;-&quot;??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0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[HR_Capstone_Completed_Ishaq Ajayi Ismail.xlsx]Analysis!PivotTable4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Average</a:t>
            </a:r>
            <a:r>
              <a:rPr lang="en-US" sz="1400" b="1" baseline="0">
                <a:solidFill>
                  <a:schemeClr val="bg1"/>
                </a:solidFill>
              </a:rPr>
              <a:t> Performance by Status</a:t>
            </a:r>
            <a:endParaRPr lang="en-US" sz="1400" b="1">
              <a:solidFill>
                <a:schemeClr val="bg1"/>
              </a:solidFill>
            </a:endParaRP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30A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Analysis!$C$16:$C$19</c:f>
              <c:strCache>
                <c:ptCount val="3"/>
                <c:pt idx="0">
                  <c:v>ACTIVE</c:v>
                </c:pt>
                <c:pt idx="1">
                  <c:v>LEFT</c:v>
                </c:pt>
                <c:pt idx="2">
                  <c:v>RESIGNED</c:v>
                </c:pt>
              </c:strCache>
            </c:strRef>
          </c:cat>
          <c:val>
            <c:numRef>
              <c:f>Analysis!$D$16:$D$19</c:f>
              <c:numCache>
                <c:formatCode>0.00</c:formatCode>
                <c:ptCount val="3"/>
                <c:pt idx="0">
                  <c:v>67.862068965517238</c:v>
                </c:pt>
                <c:pt idx="1">
                  <c:v>66.291666666666671</c:v>
                </c:pt>
                <c:pt idx="2">
                  <c:v>76.400000000000006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3-416F-B359-0402D6294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248768"/>
        <c:axId val="1085253760"/>
      </c:barChart>
      <c:catAx>
        <c:axId val="10852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53760"/>
        <c:crosses val="autoZero"/>
        <c:auto val="1"/>
        <c:lblAlgn val="ctr"/>
        <c:lblOffset val="100"/>
        <c:noMultiLvlLbl val="0"/>
      </c:catAx>
      <c:valAx>
        <c:axId val="108525376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08524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[HR_Capstone_Completed_Ishaq Ajayi Ismail.xlsx]Analysis!PivotTable5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Projected Bonus Payout for the Year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30A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Analysis!$F$16:$F$21</c:f>
              <c:strCache>
                <c:ptCount val="5"/>
                <c:pt idx="0">
                  <c:v>Achieving</c:v>
                </c:pt>
                <c:pt idx="1">
                  <c:v>Developing</c:v>
                </c:pt>
                <c:pt idx="2">
                  <c:v>Exceeding</c:v>
                </c:pt>
                <c:pt idx="3">
                  <c:v>Needs Improvement</c:v>
                </c:pt>
                <c:pt idx="4">
                  <c:v>Outstanding</c:v>
                </c:pt>
              </c:strCache>
            </c:strRef>
          </c:cat>
          <c:val>
            <c:numRef>
              <c:f>Analysis!$G$16:$G$21</c:f>
              <c:numCache>
                <c:formatCode>_("$"* #,##0_);_("$"* \(#,##0\);_("$"* "-"??_);_(@_)</c:formatCode>
                <c:ptCount val="5"/>
                <c:pt idx="0">
                  <c:v>196829.55000000002</c:v>
                </c:pt>
                <c:pt idx="1">
                  <c:v>70821.66</c:v>
                </c:pt>
                <c:pt idx="2">
                  <c:v>143996.16</c:v>
                </c:pt>
                <c:pt idx="3">
                  <c:v>0</c:v>
                </c:pt>
                <c:pt idx="4">
                  <c:v>91891.560000000012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F-430B-B7B8-AA617FF0A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609680"/>
        <c:axId val="1150618832"/>
      </c:barChart>
      <c:catAx>
        <c:axId val="115060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18832"/>
        <c:crosses val="autoZero"/>
        <c:auto val="1"/>
        <c:lblAlgn val="ctr"/>
        <c:lblOffset val="100"/>
        <c:noMultiLvlLbl val="0"/>
      </c:catAx>
      <c:valAx>
        <c:axId val="1150618832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15060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[HR_Capstone_Completed_Ishaq Ajayi Ismail.xlsx]Analysis!PivotTable1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Attrition</a:t>
            </a:r>
            <a:r>
              <a:rPr lang="en-US" b="1" baseline="0">
                <a:solidFill>
                  <a:schemeClr val="bg1"/>
                </a:solidFill>
              </a:rPr>
              <a:t> By Department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Analysis!$G$3:$G$4</c:f>
              <c:strCache>
                <c:ptCount val="1"/>
                <c:pt idx="0">
                  <c:v>ACTIVE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C3-4FEA-A00F-33B5555786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3-4FEA-A00F-33B5555786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C3-4FEA-A00F-33B5555786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C3-4FEA-A00F-33B5555786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C3-4FEA-A00F-33B5555786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C3-4FEA-A00F-33B5555786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Analysis!$F$5:$F$11</c:f>
              <c:strCache>
                <c:ptCount val="6"/>
                <c:pt idx="0">
                  <c:v>Finance</c:v>
                </c:pt>
                <c:pt idx="1">
                  <c:v>Human Resources</c:v>
                </c:pt>
                <c:pt idx="2">
                  <c:v>Information Technology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Analysis!$G$5:$G$11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28</c:v>
                </c:pt>
                <c:pt idx="3">
                  <c:v>16</c:v>
                </c:pt>
                <c:pt idx="4">
                  <c:v>18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C3-4FEA-A00F-33B5555786F4}"/>
            </c:ext>
          </c:extLst>
        </c:ser>
        <c:ser>
          <c:idx val="1"/>
          <c:order val="1"/>
          <c:tx>
            <c:strRef>
              <c:f>Analysis!$H$3:$H$4</c:f>
              <c:strCache>
                <c:ptCount val="1"/>
                <c:pt idx="0">
                  <c:v>LEFT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BC3-4FEA-A00F-33B5555786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BC3-4FEA-A00F-33B5555786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BC3-4FEA-A00F-33B5555786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BC3-4FEA-A00F-33B5555786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BC3-4FEA-A00F-33B5555786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BC3-4FEA-A00F-33B5555786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Analysis!$F$5:$F$11</c:f>
              <c:strCache>
                <c:ptCount val="6"/>
                <c:pt idx="0">
                  <c:v>Finance</c:v>
                </c:pt>
                <c:pt idx="1">
                  <c:v>Human Resources</c:v>
                </c:pt>
                <c:pt idx="2">
                  <c:v>Information Technology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Analysis!$H$5:$H$11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BC3-4FEA-A00F-33B5555786F4}"/>
            </c:ext>
          </c:extLst>
        </c:ser>
        <c:ser>
          <c:idx val="2"/>
          <c:order val="2"/>
          <c:tx>
            <c:strRef>
              <c:f>Analysis!$I$3:$I$4</c:f>
              <c:strCache>
                <c:ptCount val="1"/>
                <c:pt idx="0">
                  <c:v>RESIGNED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BC3-4FEA-A00F-33B5555786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BC3-4FEA-A00F-33B5555786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BC3-4FEA-A00F-33B5555786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BC3-4FEA-A00F-33B5555786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BC3-4FEA-A00F-33B5555786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BC3-4FEA-A00F-33B5555786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Analysis!$F$5:$F$11</c:f>
              <c:strCache>
                <c:ptCount val="6"/>
                <c:pt idx="0">
                  <c:v>Finance</c:v>
                </c:pt>
                <c:pt idx="1">
                  <c:v>Human Resources</c:v>
                </c:pt>
                <c:pt idx="2">
                  <c:v>Information Technology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Analysis!$I$5:$I$11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BC3-4FEA-A00F-33B5555786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133350</xdr:rowOff>
    </xdr:from>
    <xdr:to>
      <xdr:col>7</xdr:col>
      <xdr:colOff>552450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818A8-2DC7-4E44-9224-B6E83A062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0</xdr:row>
      <xdr:rowOff>161925</xdr:rowOff>
    </xdr:from>
    <xdr:to>
      <xdr:col>15</xdr:col>
      <xdr:colOff>533400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D526F-CD5E-476E-BC70-81B62ACA8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257175</xdr:colOff>
      <xdr:row>16</xdr:row>
      <xdr:rowOff>180975</xdr:rowOff>
    </xdr:from>
    <xdr:to>
      <xdr:col>7</xdr:col>
      <xdr:colOff>561975</xdr:colOff>
      <xdr:row>31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8CAA3A-1802-438A-94CD-BF29C56F1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228600</xdr:colOff>
      <xdr:row>16</xdr:row>
      <xdr:rowOff>171450</xdr:rowOff>
    </xdr:from>
    <xdr:to>
      <xdr:col>15</xdr:col>
      <xdr:colOff>533400</xdr:colOff>
      <xdr:row>31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36ED50-1E1F-414C-A019-972EFB650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9525</xdr:rowOff>
    </xdr:from>
    <xdr:to>
      <xdr:col>14</xdr:col>
      <xdr:colOff>590549</xdr:colOff>
      <xdr:row>26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F025D69-F6F6-4922-8D81-9C47654434E2}"/>
            </a:ext>
          </a:extLst>
        </xdr:cNvPr>
        <xdr:cNvSpPr/>
      </xdr:nvSpPr>
      <xdr:spPr>
        <a:xfrm>
          <a:off x="19048" y="9525"/>
          <a:ext cx="9105901" cy="51054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7030A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28575</xdr:colOff>
      <xdr:row>0</xdr:row>
      <xdr:rowOff>9525</xdr:rowOff>
    </xdr:from>
    <xdr:to>
      <xdr:col>14</xdr:col>
      <xdr:colOff>561975</xdr:colOff>
      <xdr:row>3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17FFF15-7FE1-4C72-A499-4C15011815EF}"/>
            </a:ext>
          </a:extLst>
        </xdr:cNvPr>
        <xdr:cNvSpPr/>
      </xdr:nvSpPr>
      <xdr:spPr>
        <a:xfrm>
          <a:off x="28575" y="9525"/>
          <a:ext cx="90678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314325</xdr:colOff>
      <xdr:row>0</xdr:row>
      <xdr:rowOff>0</xdr:rowOff>
    </xdr:from>
    <xdr:to>
      <xdr:col>12</xdr:col>
      <xdr:colOff>180975</xdr:colOff>
      <xdr:row>1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CA81CB-8E18-4305-A26A-F833A2279933}"/>
            </a:ext>
          </a:extLst>
        </xdr:cNvPr>
        <xdr:cNvSpPr txBox="1"/>
      </xdr:nvSpPr>
      <xdr:spPr>
        <a:xfrm>
          <a:off x="1533525" y="0"/>
          <a:ext cx="59626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EMPLOYEE PERFORMANCE &amp; WORKFORCE DASHBOARD</a:t>
          </a:r>
        </a:p>
      </xdr:txBody>
    </xdr:sp>
    <xdr:clientData/>
  </xdr:twoCellAnchor>
  <xdr:twoCellAnchor>
    <xdr:from>
      <xdr:col>3</xdr:col>
      <xdr:colOff>352425</xdr:colOff>
      <xdr:row>1</xdr:row>
      <xdr:rowOff>123825</xdr:rowOff>
    </xdr:from>
    <xdr:to>
      <xdr:col>11</xdr:col>
      <xdr:colOff>76200</xdr:colOff>
      <xdr:row>2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116239-EC97-4294-A61B-7FAE30D400A0}"/>
            </a:ext>
          </a:extLst>
        </xdr:cNvPr>
        <xdr:cNvSpPr txBox="1"/>
      </xdr:nvSpPr>
      <xdr:spPr>
        <a:xfrm>
          <a:off x="2181225" y="314325"/>
          <a:ext cx="4600575" cy="247650"/>
        </a:xfrm>
        <a:prstGeom prst="rect">
          <a:avLst/>
        </a:prstGeom>
        <a:noFill/>
        <a:ln w="12700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1">
              <a:solidFill>
                <a:schemeClr val="bg1"/>
              </a:solidFill>
            </a:rPr>
            <a:t>Key Insights into Workforce Size, Compesation, Attrition and Performance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 easynett" refreshedDate="46209.462380092591" createdVersion="7" refreshedVersion="7" minRefreshableVersion="3" recordCount="150" xr:uid="{13E59D17-A77D-4C08-9413-E70BB321FE0A}">
  <cacheSource type="worksheet">
    <worksheetSource name="Table1"/>
  </cacheSource>
  <cacheFields count="11">
    <cacheField name="Emp ID" numFmtId="0">
      <sharedItems/>
    </cacheField>
    <cacheField name="Full Name" numFmtId="49">
      <sharedItems/>
    </cacheField>
    <cacheField name="Dept Code" numFmtId="0">
      <sharedItems/>
    </cacheField>
    <cacheField name="Department Name" numFmtId="0">
      <sharedItems count="6">
        <s v="Information Technology"/>
        <s v="Marketing"/>
        <s v="Finance"/>
        <s v="Operations"/>
        <s v="Sales"/>
        <s v="Human Resources"/>
      </sharedItems>
    </cacheField>
    <cacheField name="Hire Date" numFmtId="14">
      <sharedItems containsSemiMixedTypes="0" containsNonDate="0" containsDate="1" containsString="0" minDate="2015-01-04T00:00:00" maxDate="2023-12-13T00:00:00"/>
    </cacheField>
    <cacheField name="Years of Service" numFmtId="0">
      <sharedItems containsSemiMixedTypes="0" containsString="0" containsNumber="1" containsInteger="1" minValue="2" maxValue="11"/>
    </cacheField>
    <cacheField name="Salary" numFmtId="164">
      <sharedItems containsSemiMixedTypes="0" containsString="0" containsNumber="1" containsInteger="1" minValue="45196" maxValue="118947"/>
    </cacheField>
    <cacheField name="Perf_Score" numFmtId="0">
      <sharedItems containsSemiMixedTypes="0" containsString="0" containsNumber="1" containsInteger="1" minValue="30" maxValue="99"/>
    </cacheField>
    <cacheField name="Performance Band" numFmtId="0">
      <sharedItems count="5">
        <s v="Developing"/>
        <s v="Achieving"/>
        <s v="Needs Improvement"/>
        <s v="Exceeding"/>
        <s v="Outstanding"/>
      </sharedItems>
    </cacheField>
    <cacheField name="Eligible Bonus Amount" numFmtId="164">
      <sharedItems containsSemiMixedTypes="0" containsString="0" containsNumber="1" minValue="0" maxValue="14273.64"/>
    </cacheField>
    <cacheField name="Employment Status" numFmtId="0">
      <sharedItems count="3">
        <s v="ACTIVE"/>
        <s v="LEFT"/>
        <s v="RESIG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27"/>
    <s v="Emily Brown"/>
    <s v="IT02"/>
    <x v="0"/>
    <d v="2017-12-24T00:00:00"/>
    <n v="8"/>
    <n v="50361"/>
    <n v="52"/>
    <x v="0"/>
    <n v="1007.22"/>
    <x v="0"/>
  </r>
  <r>
    <s v="EMP046"/>
    <s v="Richard Hernandez"/>
    <s v="MKT04"/>
    <x v="1"/>
    <d v="2022-04-08T00:00:00"/>
    <n v="4"/>
    <n v="112673"/>
    <n v="70"/>
    <x v="1"/>
    <n v="5633.6500000000005"/>
    <x v="0"/>
  </r>
  <r>
    <s v="EMP134"/>
    <s v="Emily Gonzalez"/>
    <s v="IT02"/>
    <x v="0"/>
    <d v="2016-03-02T00:00:00"/>
    <n v="10"/>
    <n v="114425"/>
    <n v="54"/>
    <x v="0"/>
    <n v="2288.5"/>
    <x v="1"/>
  </r>
  <r>
    <s v="EMP139"/>
    <s v="John Martinez"/>
    <s v="FIN03"/>
    <x v="2"/>
    <d v="2023-07-03T00:00:00"/>
    <n v="3"/>
    <n v="103831"/>
    <n v="70"/>
    <x v="1"/>
    <n v="5191.55"/>
    <x v="0"/>
  </r>
  <r>
    <s v="EMP112"/>
    <s v="Thomas Smith"/>
    <s v="IT02"/>
    <x v="0"/>
    <d v="2023-02-20T00:00:00"/>
    <n v="3"/>
    <n v="73785"/>
    <n v="40"/>
    <x v="2"/>
    <n v="0"/>
    <x v="1"/>
  </r>
  <r>
    <s v="EMP030"/>
    <s v="Emily Johnson"/>
    <s v="OPS06"/>
    <x v="3"/>
    <d v="2020-03-02T00:00:00"/>
    <n v="6"/>
    <n v="115882"/>
    <n v="49"/>
    <x v="2"/>
    <n v="0"/>
    <x v="0"/>
  </r>
  <r>
    <s v="EMP096"/>
    <s v="John Wilson"/>
    <s v="OPS06"/>
    <x v="3"/>
    <d v="2023-12-12T00:00:00"/>
    <n v="2"/>
    <n v="59980"/>
    <n v="70"/>
    <x v="1"/>
    <n v="2999"/>
    <x v="1"/>
  </r>
  <r>
    <s v="EMP098"/>
    <s v="Jessica Smith"/>
    <s v="OPS06"/>
    <x v="3"/>
    <d v="2020-12-09T00:00:00"/>
    <n v="5"/>
    <n v="68728"/>
    <n v="45"/>
    <x v="2"/>
    <n v="0"/>
    <x v="0"/>
  </r>
  <r>
    <s v="EMP095"/>
    <s v="Rodriguez"/>
    <s v="FIN03"/>
    <x v="2"/>
    <d v="2018-01-07T00:00:00"/>
    <n v="8"/>
    <n v="102139"/>
    <n v="79"/>
    <x v="1"/>
    <n v="5106.9500000000007"/>
    <x v="0"/>
  </r>
  <r>
    <s v="EMP140"/>
    <s v="Michael Martinez"/>
    <s v="SAL05"/>
    <x v="4"/>
    <d v="2016-11-02T00:00:00"/>
    <n v="9"/>
    <n v="94998"/>
    <n v="58"/>
    <x v="0"/>
    <n v="1899.96"/>
    <x v="0"/>
  </r>
  <r>
    <s v="EMP020"/>
    <s v="Emily Miller"/>
    <s v="SAL05"/>
    <x v="4"/>
    <d v="2020-03-21T00:00:00"/>
    <n v="6"/>
    <n v="118635"/>
    <n v="49"/>
    <x v="2"/>
    <n v="0"/>
    <x v="0"/>
  </r>
  <r>
    <s v="EMP057"/>
    <s v="Emily Hernandez"/>
    <s v="IT02"/>
    <x v="0"/>
    <d v="2016-02-25T00:00:00"/>
    <n v="10"/>
    <n v="76918"/>
    <n v="62"/>
    <x v="0"/>
    <n v="1538.3600000000001"/>
    <x v="0"/>
  </r>
  <r>
    <s v="EMP016"/>
    <s v="Jane Williams"/>
    <s v="MKT04"/>
    <x v="1"/>
    <d v="2021-06-17T00:00:00"/>
    <n v="5"/>
    <n v="61408"/>
    <n v="48"/>
    <x v="2"/>
    <n v="0"/>
    <x v="0"/>
  </r>
  <r>
    <s v="EMP070"/>
    <s v="Jane Miller"/>
    <s v="MKT04"/>
    <x v="1"/>
    <d v="2020-06-19T00:00:00"/>
    <n v="6"/>
    <n v="99990"/>
    <n v="54"/>
    <x v="0"/>
    <n v="1999.8"/>
    <x v="0"/>
  </r>
  <r>
    <s v="EMP025"/>
    <s v="Robert Jones"/>
    <s v="MKT04"/>
    <x v="1"/>
    <d v="2019-12-21T00:00:00"/>
    <n v="6"/>
    <n v="80385"/>
    <n v="70"/>
    <x v="1"/>
    <n v="4019.25"/>
    <x v="0"/>
  </r>
  <r>
    <s v="EMP031"/>
    <s v="Thomas Rodriguez"/>
    <s v="SAL05"/>
    <x v="4"/>
    <d v="2023-08-31T00:00:00"/>
    <n v="2"/>
    <n v="65290"/>
    <n v="77"/>
    <x v="1"/>
    <n v="3264.5"/>
    <x v="0"/>
  </r>
  <r>
    <s v="EMP126"/>
    <s v="Emily Davis"/>
    <s v="IT02"/>
    <x v="0"/>
    <d v="2015-11-29T00:00:00"/>
    <n v="10"/>
    <n v="105765"/>
    <n v="42"/>
    <x v="2"/>
    <n v="0"/>
    <x v="0"/>
  </r>
  <r>
    <s v="EMP109"/>
    <s v="James Martinez"/>
    <s v="SAL05"/>
    <x v="4"/>
    <d v="2017-06-13T00:00:00"/>
    <n v="9"/>
    <n v="102921"/>
    <n v="49"/>
    <x v="2"/>
    <n v="0"/>
    <x v="0"/>
  </r>
  <r>
    <s v="EMP066"/>
    <s v="Ashley Lopez"/>
    <s v="MKT04"/>
    <x v="1"/>
    <d v="2018-05-15T00:00:00"/>
    <n v="8"/>
    <n v="73984"/>
    <n v="93"/>
    <x v="3"/>
    <n v="5918.72"/>
    <x v="0"/>
  </r>
  <r>
    <s v="EMP120"/>
    <s v="Amanda Gonzalez"/>
    <s v="IT02"/>
    <x v="0"/>
    <d v="2016-07-24T00:00:00"/>
    <n v="9"/>
    <n v="79271"/>
    <n v="75"/>
    <x v="1"/>
    <n v="3963.55"/>
    <x v="0"/>
  </r>
  <r>
    <s v="EMP019"/>
    <s v="Michael Hernandez"/>
    <s v="FIN03"/>
    <x v="2"/>
    <d v="2017-12-07T00:00:00"/>
    <n v="8"/>
    <n v="118527"/>
    <n v="50"/>
    <x v="0"/>
    <n v="2370.54"/>
    <x v="0"/>
  </r>
  <r>
    <s v="EMP013"/>
    <s v="Richard Hernandez"/>
    <s v="MKT04"/>
    <x v="1"/>
    <d v="2021-06-06T00:00:00"/>
    <n v="5"/>
    <n v="107871"/>
    <n v="88"/>
    <x v="3"/>
    <n v="8629.68"/>
    <x v="0"/>
  </r>
  <r>
    <s v="EMP010"/>
    <s v="Michael Rodriguez"/>
    <s v="IT02"/>
    <x v="0"/>
    <d v="2022-09-11T00:00:00"/>
    <n v="3"/>
    <n v="93956"/>
    <n v="50"/>
    <x v="0"/>
    <n v="1879.1200000000001"/>
    <x v="1"/>
  </r>
  <r>
    <s v="EMP032"/>
    <s v="Jessica Johnson"/>
    <s v="FIN03"/>
    <x v="2"/>
    <d v="2016-07-14T00:00:00"/>
    <n v="9"/>
    <n v="100851"/>
    <n v="64"/>
    <x v="0"/>
    <n v="2017.02"/>
    <x v="0"/>
  </r>
  <r>
    <s v="EMP082"/>
    <s v="Ashley Williams"/>
    <s v="SAL05"/>
    <x v="4"/>
    <d v="2022-06-16T00:00:00"/>
    <n v="4"/>
    <n v="68655"/>
    <n v="32"/>
    <x v="2"/>
    <n v="0"/>
    <x v="0"/>
  </r>
  <r>
    <s v="EMP052"/>
    <s v="Williams"/>
    <s v="SAL05"/>
    <x v="4"/>
    <d v="2023-07-27T00:00:00"/>
    <n v="2"/>
    <n v="81205"/>
    <n v="59"/>
    <x v="0"/>
    <n v="1624.1000000000001"/>
    <x v="0"/>
  </r>
  <r>
    <s v="EMP129"/>
    <s v="John Wilson"/>
    <s v="SAL05"/>
    <x v="4"/>
    <d v="2019-09-24T00:00:00"/>
    <n v="6"/>
    <n v="77610"/>
    <n v="88"/>
    <x v="3"/>
    <n v="6208.8"/>
    <x v="0"/>
  </r>
  <r>
    <s v="EMP146"/>
    <s v="Thomas Rodriguez"/>
    <s v="IT02"/>
    <x v="0"/>
    <d v="2022-07-23T00:00:00"/>
    <n v="3"/>
    <n v="50873"/>
    <n v="90"/>
    <x v="3"/>
    <n v="4069.84"/>
    <x v="0"/>
  </r>
  <r>
    <s v="EMP099"/>
    <s v="Michael Wilson"/>
    <s v="FIN03"/>
    <x v="2"/>
    <d v="2018-05-13T00:00:00"/>
    <n v="8"/>
    <n v="85312"/>
    <n v="66"/>
    <x v="0"/>
    <n v="1706.24"/>
    <x v="0"/>
  </r>
  <r>
    <s v="EMP015"/>
    <s v="John Rodriguez"/>
    <s v="SAL05"/>
    <x v="4"/>
    <d v="2015-07-17T00:00:00"/>
    <n v="10"/>
    <n v="79271"/>
    <n v="68"/>
    <x v="0"/>
    <n v="1585.42"/>
    <x v="0"/>
  </r>
  <r>
    <s v="EMP076"/>
    <s v="Thomas Hernandez"/>
    <s v="OPS06"/>
    <x v="3"/>
    <d v="2015-08-05T00:00:00"/>
    <n v="10"/>
    <n v="97055"/>
    <n v="80"/>
    <x v="1"/>
    <n v="4852.75"/>
    <x v="0"/>
  </r>
  <r>
    <s v="EMP137"/>
    <s v="Michael Johnson"/>
    <s v="IT02"/>
    <x v="0"/>
    <d v="2023-09-26T00:00:00"/>
    <n v="2"/>
    <n v="66069"/>
    <n v="72"/>
    <x v="1"/>
    <n v="3303.4500000000003"/>
    <x v="0"/>
  </r>
  <r>
    <s v="EMP056"/>
    <s v="Sarah Brown"/>
    <s v="IT02"/>
    <x v="0"/>
    <d v="2019-06-10T00:00:00"/>
    <n v="7"/>
    <n v="90157"/>
    <n v="58"/>
    <x v="0"/>
    <n v="1803.14"/>
    <x v="0"/>
  </r>
  <r>
    <s v="EMP125"/>
    <s v="Jane Martinez"/>
    <s v="HR01"/>
    <x v="5"/>
    <d v="2022-01-17T00:00:00"/>
    <n v="4"/>
    <n v="59899"/>
    <n v="78"/>
    <x v="1"/>
    <n v="2994.9500000000003"/>
    <x v="0"/>
  </r>
  <r>
    <s v="EMP085"/>
    <s v="Emily Jones"/>
    <s v="FIN03"/>
    <x v="2"/>
    <d v="2017-07-03T00:00:00"/>
    <n v="9"/>
    <n v="113389"/>
    <n v="30"/>
    <x v="2"/>
    <n v="0"/>
    <x v="0"/>
  </r>
  <r>
    <s v="EMP106"/>
    <s v="Brown"/>
    <s v="IT02"/>
    <x v="0"/>
    <d v="2015-09-01T00:00:00"/>
    <n v="10"/>
    <n v="102691"/>
    <n v="52"/>
    <x v="0"/>
    <n v="2053.8200000000002"/>
    <x v="0"/>
  </r>
  <r>
    <s v="EMP043"/>
    <s v="John Wilson"/>
    <s v="OPS06"/>
    <x v="3"/>
    <d v="2022-08-03T00:00:00"/>
    <n v="3"/>
    <n v="111845"/>
    <n v="98"/>
    <x v="4"/>
    <n v="13421.4"/>
    <x v="0"/>
  </r>
  <r>
    <s v="EMP068"/>
    <s v="Melissa Brown"/>
    <s v="SAL05"/>
    <x v="4"/>
    <d v="2022-06-29T00:00:00"/>
    <n v="4"/>
    <n v="69219"/>
    <n v="93"/>
    <x v="3"/>
    <n v="5537.52"/>
    <x v="0"/>
  </r>
  <r>
    <s v="EMP128"/>
    <s v="Michael Smith"/>
    <s v="FIN03"/>
    <x v="2"/>
    <d v="2020-04-28T00:00:00"/>
    <n v="6"/>
    <n v="79271"/>
    <n v="80"/>
    <x v="1"/>
    <n v="3963.55"/>
    <x v="1"/>
  </r>
  <r>
    <s v="EMP027"/>
    <s v="Sarah Miller"/>
    <s v="OPS06"/>
    <x v="3"/>
    <d v="2017-09-09T00:00:00"/>
    <n v="8"/>
    <n v="57514"/>
    <n v="70"/>
    <x v="1"/>
    <n v="2875.7000000000003"/>
    <x v="0"/>
  </r>
  <r>
    <s v="EMP136"/>
    <s v="Emily Wilson"/>
    <s v="SAL05"/>
    <x v="4"/>
    <d v="2018-03-22T00:00:00"/>
    <n v="8"/>
    <n v="86245"/>
    <n v="71"/>
    <x v="1"/>
    <n v="4312.25"/>
    <x v="1"/>
  </r>
  <r>
    <s v="EMP079"/>
    <s v="David Hernandez"/>
    <s v="SAL05"/>
    <x v="4"/>
    <d v="2020-05-07T00:00:00"/>
    <n v="6"/>
    <n v="52407"/>
    <n v="55"/>
    <x v="0"/>
    <n v="1048.1400000000001"/>
    <x v="0"/>
  </r>
  <r>
    <s v="EMP149"/>
    <s v="James Smith"/>
    <s v="OPS06"/>
    <x v="3"/>
    <d v="2019-03-25T00:00:00"/>
    <n v="7"/>
    <n v="66606"/>
    <n v="93"/>
    <x v="3"/>
    <n v="5328.4800000000005"/>
    <x v="2"/>
  </r>
  <r>
    <s v="EMP037"/>
    <s v="Sarah Williams"/>
    <s v="IT02"/>
    <x v="0"/>
    <d v="2019-08-09T00:00:00"/>
    <n v="6"/>
    <n v="81896"/>
    <n v="79"/>
    <x v="1"/>
    <n v="4094.8"/>
    <x v="2"/>
  </r>
  <r>
    <s v="EMP077"/>
    <s v="Amanda Lopez"/>
    <s v="SAL05"/>
    <x v="4"/>
    <d v="2016-07-14T00:00:00"/>
    <n v="9"/>
    <n v="78402"/>
    <n v="54"/>
    <x v="0"/>
    <n v="1568.04"/>
    <x v="0"/>
  </r>
  <r>
    <s v="EMP023"/>
    <s v="Thomas Lopez"/>
    <s v="OPS06"/>
    <x v="3"/>
    <d v="2016-10-04T00:00:00"/>
    <n v="9"/>
    <n v="105498"/>
    <n v="76"/>
    <x v="1"/>
    <n v="5274.9000000000005"/>
    <x v="0"/>
  </r>
  <r>
    <s v="EMP133"/>
    <s v="Melissa Johnson"/>
    <s v="MKT04"/>
    <x v="1"/>
    <d v="2019-07-10T00:00:00"/>
    <n v="6"/>
    <n v="91749"/>
    <n v="72"/>
    <x v="1"/>
    <n v="4587.45"/>
    <x v="1"/>
  </r>
  <r>
    <s v="EMP141"/>
    <s v="Amanda Johnson"/>
    <s v="OPS06"/>
    <x v="3"/>
    <d v="2021-08-29T00:00:00"/>
    <n v="4"/>
    <n v="99935"/>
    <n v="84"/>
    <x v="1"/>
    <n v="4996.75"/>
    <x v="2"/>
  </r>
  <r>
    <s v="EMP012"/>
    <s v="John Davis"/>
    <s v="IT02"/>
    <x v="0"/>
    <d v="2017-01-26T00:00:00"/>
    <n v="9"/>
    <n v="83531"/>
    <n v="30"/>
    <x v="2"/>
    <n v="0"/>
    <x v="1"/>
  </r>
  <r>
    <s v="EMP080"/>
    <s v="James Johnson"/>
    <s v="MKT04"/>
    <x v="1"/>
    <d v="2020-05-30T00:00:00"/>
    <n v="6"/>
    <n v="75023"/>
    <n v="70"/>
    <x v="1"/>
    <n v="3751.15"/>
    <x v="0"/>
  </r>
  <r>
    <s v="EMP069"/>
    <s v="Jane Davis"/>
    <s v="HR01"/>
    <x v="5"/>
    <d v="2022-02-20T00:00:00"/>
    <n v="4"/>
    <n v="93290"/>
    <n v="53"/>
    <x v="0"/>
    <n v="1865.8"/>
    <x v="0"/>
  </r>
  <r>
    <s v="EMP150"/>
    <s v="Richard Davis"/>
    <s v="OPS06"/>
    <x v="3"/>
    <d v="2016-09-15T00:00:00"/>
    <n v="9"/>
    <n v="115527"/>
    <n v="63"/>
    <x v="0"/>
    <n v="2310.54"/>
    <x v="2"/>
  </r>
  <r>
    <s v="EMP028"/>
    <s v="Thomas Rodriguez"/>
    <s v="FIN03"/>
    <x v="2"/>
    <d v="2019-10-07T00:00:00"/>
    <n v="6"/>
    <n v="55920"/>
    <n v="84"/>
    <x v="1"/>
    <n v="2796"/>
    <x v="0"/>
  </r>
  <r>
    <s v="EMP087"/>
    <s v="Emily Johnson"/>
    <s v="SAL05"/>
    <x v="4"/>
    <d v="2018-12-30T00:00:00"/>
    <n v="7"/>
    <n v="80189"/>
    <n v="30"/>
    <x v="2"/>
    <n v="0"/>
    <x v="0"/>
  </r>
  <r>
    <s v="EMP119"/>
    <s v="Emily Garcia"/>
    <s v="HR01"/>
    <x v="5"/>
    <d v="2020-12-24T00:00:00"/>
    <n v="5"/>
    <n v="118947"/>
    <n v="96"/>
    <x v="4"/>
    <n v="14273.64"/>
    <x v="0"/>
  </r>
  <r>
    <s v="EMP042"/>
    <s v="Jane Anderson"/>
    <s v="IT02"/>
    <x v="0"/>
    <d v="2023-07-05T00:00:00"/>
    <n v="3"/>
    <n v="79271"/>
    <n v="54"/>
    <x v="0"/>
    <n v="1585.42"/>
    <x v="0"/>
  </r>
  <r>
    <s v="EMP005"/>
    <s v="Thomas Garcia"/>
    <s v="OPS06"/>
    <x v="3"/>
    <d v="2020-11-13T00:00:00"/>
    <n v="5"/>
    <n v="79271"/>
    <n v="75"/>
    <x v="1"/>
    <n v="3963.55"/>
    <x v="0"/>
  </r>
  <r>
    <s v="EMP033"/>
    <s v="David Martinez"/>
    <s v="HR01"/>
    <x v="5"/>
    <d v="2018-02-07T00:00:00"/>
    <n v="8"/>
    <n v="91655"/>
    <n v="95"/>
    <x v="4"/>
    <n v="10998.6"/>
    <x v="0"/>
  </r>
  <r>
    <s v="EMP061"/>
    <s v="Emily Brown"/>
    <s v="IT02"/>
    <x v="0"/>
    <d v="2023-11-25T00:00:00"/>
    <n v="2"/>
    <n v="49435"/>
    <n v="70"/>
    <x v="1"/>
    <n v="2471.75"/>
    <x v="1"/>
  </r>
  <r>
    <s v="EMP102"/>
    <s v="Emily Wilson"/>
    <s v="SAL05"/>
    <x v="4"/>
    <d v="2023-10-18T00:00:00"/>
    <n v="2"/>
    <n v="110381"/>
    <n v="93"/>
    <x v="3"/>
    <n v="8830.48"/>
    <x v="0"/>
  </r>
  <r>
    <s v="EMP067"/>
    <s v="Michael Anderson"/>
    <s v="HR01"/>
    <x v="5"/>
    <d v="2020-09-05T00:00:00"/>
    <n v="5"/>
    <n v="114748"/>
    <n v="33"/>
    <x v="2"/>
    <n v="0"/>
    <x v="0"/>
  </r>
  <r>
    <s v="EMP017"/>
    <s v="Robert Johnson"/>
    <s v="OPS06"/>
    <x v="3"/>
    <d v="2017-03-06T00:00:00"/>
    <n v="9"/>
    <n v="63302"/>
    <n v="91"/>
    <x v="3"/>
    <n v="5064.16"/>
    <x v="0"/>
  </r>
  <r>
    <s v="EMP123"/>
    <s v="Robert Miller"/>
    <s v="IT02"/>
    <x v="0"/>
    <d v="2015-04-28T00:00:00"/>
    <n v="11"/>
    <n v="75519"/>
    <n v="64"/>
    <x v="0"/>
    <n v="1510.38"/>
    <x v="0"/>
  </r>
  <r>
    <s v="EMP011"/>
    <s v="Jane Davis"/>
    <s v="FIN03"/>
    <x v="2"/>
    <d v="2017-04-13T00:00:00"/>
    <n v="9"/>
    <n v="103891"/>
    <n v="80"/>
    <x v="1"/>
    <n v="5194.55"/>
    <x v="0"/>
  </r>
  <r>
    <s v="EMP091"/>
    <s v="Thomas Davis"/>
    <s v="OPS06"/>
    <x v="3"/>
    <d v="2022-09-23T00:00:00"/>
    <n v="3"/>
    <n v="79271"/>
    <n v="46"/>
    <x v="2"/>
    <n v="0"/>
    <x v="1"/>
  </r>
  <r>
    <s v="EMP145"/>
    <s v="Thomas Jones"/>
    <s v="MKT04"/>
    <x v="1"/>
    <d v="2016-11-11T00:00:00"/>
    <n v="9"/>
    <n v="50936"/>
    <n v="99"/>
    <x v="4"/>
    <n v="6112.32"/>
    <x v="0"/>
  </r>
  <r>
    <s v="EMP001"/>
    <s v="Michael Miller"/>
    <s v="SAL05"/>
    <x v="4"/>
    <d v="2017-03-24T00:00:00"/>
    <n v="9"/>
    <n v="111240"/>
    <n v="70"/>
    <x v="1"/>
    <n v="5562"/>
    <x v="0"/>
  </r>
  <r>
    <s v="EMP113"/>
    <s v="Richard Gonzalez"/>
    <s v="HR01"/>
    <x v="5"/>
    <d v="2019-05-05T00:00:00"/>
    <n v="7"/>
    <n v="51567"/>
    <n v="87"/>
    <x v="3"/>
    <n v="4125.3599999999997"/>
    <x v="2"/>
  </r>
  <r>
    <s v="EMP065"/>
    <s v="Melissa Williams"/>
    <s v="HR01"/>
    <x v="5"/>
    <d v="2021-07-25T00:00:00"/>
    <n v="4"/>
    <n v="79271"/>
    <n v="36"/>
    <x v="2"/>
    <n v="0"/>
    <x v="0"/>
  </r>
  <r>
    <s v="EMP045"/>
    <s v="Robert Miller"/>
    <s v="HR01"/>
    <x v="5"/>
    <d v="2017-09-30T00:00:00"/>
    <n v="8"/>
    <n v="55270"/>
    <n v="87"/>
    <x v="3"/>
    <n v="4421.6000000000004"/>
    <x v="0"/>
  </r>
  <r>
    <s v="EMP083"/>
    <s v="William Garcia"/>
    <s v="SAL05"/>
    <x v="4"/>
    <d v="2015-07-07T00:00:00"/>
    <n v="10"/>
    <n v="65235"/>
    <n v="97"/>
    <x v="4"/>
    <n v="7828.2"/>
    <x v="0"/>
  </r>
  <r>
    <s v="EMP029"/>
    <s v="John Gonzalez"/>
    <s v="SAL05"/>
    <x v="4"/>
    <d v="2018-07-02T00:00:00"/>
    <n v="8"/>
    <n v="79271"/>
    <n v="72"/>
    <x v="1"/>
    <n v="3963.55"/>
    <x v="1"/>
  </r>
  <r>
    <s v="EMP041"/>
    <s v="James Gonzalez"/>
    <s v="SAL05"/>
    <x v="4"/>
    <d v="2022-09-15T00:00:00"/>
    <n v="3"/>
    <n v="79271"/>
    <n v="65"/>
    <x v="0"/>
    <n v="1585.42"/>
    <x v="1"/>
  </r>
  <r>
    <s v="EMP026"/>
    <s v="Jane Gonzalez"/>
    <s v="SAL05"/>
    <x v="4"/>
    <d v="2015-09-02T00:00:00"/>
    <n v="10"/>
    <n v="79271"/>
    <n v="67"/>
    <x v="0"/>
    <n v="1585.42"/>
    <x v="0"/>
  </r>
  <r>
    <s v="EMP024"/>
    <s v="David Wilson"/>
    <s v="OPS06"/>
    <x v="3"/>
    <d v="2016-10-11T00:00:00"/>
    <n v="9"/>
    <n v="48823"/>
    <n v="34"/>
    <x v="2"/>
    <n v="0"/>
    <x v="0"/>
  </r>
  <r>
    <s v="EMP111"/>
    <s v="Jane Gonzalez"/>
    <s v="FIN03"/>
    <x v="2"/>
    <d v="2019-04-20T00:00:00"/>
    <n v="7"/>
    <n v="45196"/>
    <n v="78"/>
    <x v="1"/>
    <n v="2259.8000000000002"/>
    <x v="1"/>
  </r>
  <r>
    <s v="EMP040"/>
    <s v="Jane Rodriguez"/>
    <s v="IT02"/>
    <x v="0"/>
    <d v="2017-02-19T00:00:00"/>
    <n v="9"/>
    <n v="86246"/>
    <n v="61"/>
    <x v="0"/>
    <n v="1724.92"/>
    <x v="0"/>
  </r>
  <r>
    <s v="EMP086"/>
    <s v="Emily Miller"/>
    <s v="SAL05"/>
    <x v="4"/>
    <d v="2021-09-07T00:00:00"/>
    <n v="4"/>
    <n v="70359"/>
    <n v="74"/>
    <x v="1"/>
    <n v="3517.9500000000003"/>
    <x v="1"/>
  </r>
  <r>
    <s v="EMP124"/>
    <s v="Sarah Miller"/>
    <s v="MKT04"/>
    <x v="1"/>
    <d v="2019-05-14T00:00:00"/>
    <n v="7"/>
    <n v="79271"/>
    <n v="94"/>
    <x v="3"/>
    <n v="6341.68"/>
    <x v="0"/>
  </r>
  <r>
    <s v="EMP132"/>
    <s v="Jessica Garcia"/>
    <s v="OPS06"/>
    <x v="3"/>
    <d v="2015-11-22T00:00:00"/>
    <n v="10"/>
    <n v="86480"/>
    <n v="70"/>
    <x v="1"/>
    <n v="4324"/>
    <x v="0"/>
  </r>
  <r>
    <s v="EMP048"/>
    <s v="Richard Smith"/>
    <s v="HR01"/>
    <x v="5"/>
    <d v="2018-09-29T00:00:00"/>
    <n v="7"/>
    <n v="47694"/>
    <n v="75"/>
    <x v="1"/>
    <n v="2384.7000000000003"/>
    <x v="0"/>
  </r>
  <r>
    <s v="EMP114"/>
    <s v="Melissa Wilson"/>
    <s v="IT02"/>
    <x v="0"/>
    <d v="2023-09-02T00:00:00"/>
    <n v="2"/>
    <n v="83724"/>
    <n v="81"/>
    <x v="1"/>
    <n v="4186.2"/>
    <x v="2"/>
  </r>
  <r>
    <s v="EMP062"/>
    <s v="Thomas Williams"/>
    <s v="FIN03"/>
    <x v="2"/>
    <d v="2022-07-17T00:00:00"/>
    <n v="3"/>
    <n v="98299"/>
    <n v="61"/>
    <x v="0"/>
    <n v="1965.98"/>
    <x v="0"/>
  </r>
  <r>
    <s v="EMP074"/>
    <s v="David Williams"/>
    <s v="FIN03"/>
    <x v="2"/>
    <d v="2021-02-07T00:00:00"/>
    <n v="5"/>
    <n v="79271"/>
    <n v="68"/>
    <x v="0"/>
    <n v="1585.42"/>
    <x v="0"/>
  </r>
  <r>
    <s v="EMP034"/>
    <s v="John Johnson"/>
    <s v="IT02"/>
    <x v="0"/>
    <d v="2023-10-04T00:00:00"/>
    <n v="2"/>
    <n v="52287"/>
    <n v="70"/>
    <x v="1"/>
    <n v="2614.3500000000004"/>
    <x v="0"/>
  </r>
  <r>
    <s v="EMP105"/>
    <s v="Richard Gonzalez"/>
    <s v="IT02"/>
    <x v="0"/>
    <d v="2020-08-30T00:00:00"/>
    <n v="5"/>
    <n v="82633"/>
    <n v="98"/>
    <x v="4"/>
    <n v="9915.9599999999991"/>
    <x v="0"/>
  </r>
  <r>
    <s v="EMP118"/>
    <s v="Melissa Anderson"/>
    <s v="OPS06"/>
    <x v="3"/>
    <d v="2021-08-14T00:00:00"/>
    <n v="4"/>
    <n v="46508"/>
    <n v="34"/>
    <x v="2"/>
    <n v="0"/>
    <x v="0"/>
  </r>
  <r>
    <s v="EMP063"/>
    <s v="Emily Gonzalez"/>
    <s v="HR01"/>
    <x v="5"/>
    <d v="2019-11-27T00:00:00"/>
    <n v="6"/>
    <n v="86232"/>
    <n v="93"/>
    <x v="3"/>
    <n v="6898.56"/>
    <x v="0"/>
  </r>
  <r>
    <s v="EMP094"/>
    <s v="Jane Davis"/>
    <s v="IT02"/>
    <x v="0"/>
    <d v="2017-05-25T00:00:00"/>
    <n v="9"/>
    <n v="77545"/>
    <n v="48"/>
    <x v="2"/>
    <n v="0"/>
    <x v="0"/>
  </r>
  <r>
    <s v="EMP097"/>
    <s v="William Gonzalez"/>
    <s v="OPS06"/>
    <x v="3"/>
    <d v="2018-12-02T00:00:00"/>
    <n v="7"/>
    <n v="68683"/>
    <n v="90"/>
    <x v="3"/>
    <n v="5494.64"/>
    <x v="0"/>
  </r>
  <r>
    <s v="EMP054"/>
    <s v="Thomas Jones"/>
    <s v="FIN03"/>
    <x v="2"/>
    <d v="2019-06-23T00:00:00"/>
    <n v="7"/>
    <n v="83932"/>
    <n v="57"/>
    <x v="0"/>
    <n v="1678.64"/>
    <x v="1"/>
  </r>
  <r>
    <s v="EMP006"/>
    <s v="Jessica Anderson"/>
    <s v="HR01"/>
    <x v="5"/>
    <d v="2015-10-27T00:00:00"/>
    <n v="10"/>
    <n v="56073"/>
    <n v="79"/>
    <x v="1"/>
    <n v="2803.65"/>
    <x v="0"/>
  </r>
  <r>
    <s v="EMP110"/>
    <s v="Melissa Johnson"/>
    <s v="IT02"/>
    <x v="0"/>
    <d v="2018-06-19T00:00:00"/>
    <n v="8"/>
    <n v="88056"/>
    <n v="66"/>
    <x v="0"/>
    <n v="1761.1200000000001"/>
    <x v="0"/>
  </r>
  <r>
    <s v="EMP147"/>
    <s v="Thomas Miller"/>
    <s v="OPS06"/>
    <x v="3"/>
    <d v="2018-01-12T00:00:00"/>
    <n v="8"/>
    <n v="67414"/>
    <n v="84"/>
    <x v="1"/>
    <n v="3370.7000000000003"/>
    <x v="1"/>
  </r>
  <r>
    <s v="EMP050"/>
    <s v="William Gonzalez"/>
    <s v="SAL05"/>
    <x v="4"/>
    <d v="2015-01-04T00:00:00"/>
    <n v="11"/>
    <n v="115288"/>
    <n v="61"/>
    <x v="0"/>
    <n v="2305.7600000000002"/>
    <x v="0"/>
  </r>
  <r>
    <s v="EMP036"/>
    <s v="Smith"/>
    <s v="SAL05"/>
    <x v="4"/>
    <d v="2018-12-05T00:00:00"/>
    <n v="7"/>
    <n v="80140"/>
    <n v="58"/>
    <x v="0"/>
    <n v="1602.8"/>
    <x v="0"/>
  </r>
  <r>
    <s v="EMP081"/>
    <s v="John Johnson"/>
    <s v="IT02"/>
    <x v="0"/>
    <d v="2021-10-13T00:00:00"/>
    <n v="4"/>
    <n v="73087"/>
    <n v="69"/>
    <x v="0"/>
    <n v="1461.74"/>
    <x v="0"/>
  </r>
  <r>
    <s v="EMP078"/>
    <s v="Jane Johnson"/>
    <s v="SAL05"/>
    <x v="4"/>
    <d v="2020-09-07T00:00:00"/>
    <n v="5"/>
    <n v="95292"/>
    <n v="34"/>
    <x v="2"/>
    <n v="0"/>
    <x v="0"/>
  </r>
  <r>
    <s v="EMP035"/>
    <s v="John Jones"/>
    <s v="IT02"/>
    <x v="0"/>
    <d v="2019-03-08T00:00:00"/>
    <n v="7"/>
    <n v="79271"/>
    <n v="33"/>
    <x v="2"/>
    <n v="0"/>
    <x v="0"/>
  </r>
  <r>
    <s v="EMP047"/>
    <s v="Jane Lopez"/>
    <s v="MKT04"/>
    <x v="1"/>
    <d v="2015-03-11T00:00:00"/>
    <n v="11"/>
    <n v="101750"/>
    <n v="84"/>
    <x v="1"/>
    <n v="5087.5"/>
    <x v="1"/>
  </r>
  <r>
    <s v="EMP008"/>
    <s v="Melissa Gonzalez"/>
    <s v="MKT04"/>
    <x v="1"/>
    <d v="2017-02-19T00:00:00"/>
    <n v="9"/>
    <n v="82992"/>
    <n v="79"/>
    <x v="1"/>
    <n v="4149.6000000000004"/>
    <x v="0"/>
  </r>
  <r>
    <s v="EMP044"/>
    <s v="William Davis"/>
    <s v="IT02"/>
    <x v="0"/>
    <d v="2023-05-09T00:00:00"/>
    <n v="3"/>
    <n v="49942"/>
    <n v="51"/>
    <x v="0"/>
    <n v="998.84"/>
    <x v="0"/>
  </r>
  <r>
    <s v="EMP071"/>
    <s v="John Smith"/>
    <s v="OPS06"/>
    <x v="3"/>
    <d v="2018-01-22T00:00:00"/>
    <n v="8"/>
    <n v="89060"/>
    <n v="58"/>
    <x v="0"/>
    <n v="1781.2"/>
    <x v="0"/>
  </r>
  <r>
    <s v="EMP115"/>
    <s v="James Gonzalez"/>
    <s v="IT02"/>
    <x v="0"/>
    <d v="2020-02-18T00:00:00"/>
    <n v="6"/>
    <n v="53786"/>
    <n v="98"/>
    <x v="4"/>
    <n v="6454.32"/>
    <x v="0"/>
  </r>
  <r>
    <s v="EMP092"/>
    <s v="Emily Johnson"/>
    <s v="OPS06"/>
    <x v="3"/>
    <d v="2016-05-22T00:00:00"/>
    <n v="10"/>
    <n v="81167"/>
    <n v="70"/>
    <x v="1"/>
    <n v="4058.3500000000004"/>
    <x v="0"/>
  </r>
  <r>
    <s v="EMP084"/>
    <s v="William Williams"/>
    <s v="MKT04"/>
    <x v="1"/>
    <d v="2021-06-02T00:00:00"/>
    <n v="5"/>
    <n v="66688"/>
    <n v="40"/>
    <x v="2"/>
    <n v="0"/>
    <x v="1"/>
  </r>
  <r>
    <s v="EMP142"/>
    <s v="James Jones"/>
    <s v="IT02"/>
    <x v="0"/>
    <d v="2021-07-17T00:00:00"/>
    <n v="4"/>
    <n v="91672"/>
    <n v="88"/>
    <x v="3"/>
    <n v="7333.76"/>
    <x v="0"/>
  </r>
  <r>
    <s v="EMP143"/>
    <s v="Jessica Gonzalez"/>
    <s v="HR01"/>
    <x v="5"/>
    <d v="2016-11-13T00:00:00"/>
    <n v="9"/>
    <n v="77737"/>
    <n v="77"/>
    <x v="1"/>
    <n v="3886.8500000000004"/>
    <x v="0"/>
  </r>
  <r>
    <s v="EMP090"/>
    <s v="Sarah Miller"/>
    <s v="SAL05"/>
    <x v="4"/>
    <d v="2019-02-17T00:00:00"/>
    <n v="7"/>
    <n v="95686"/>
    <n v="91"/>
    <x v="3"/>
    <n v="7654.88"/>
    <x v="0"/>
  </r>
  <r>
    <s v="EMP009"/>
    <s v="Jessica Smith"/>
    <s v="SAL05"/>
    <x v="4"/>
    <d v="2016-09-12T00:00:00"/>
    <n v="9"/>
    <n v="114681"/>
    <n v="36"/>
    <x v="2"/>
    <n v="0"/>
    <x v="0"/>
  </r>
  <r>
    <s v="EMP014"/>
    <s v="Thomas Jones"/>
    <s v="OPS06"/>
    <x v="3"/>
    <d v="2021-08-13T00:00:00"/>
    <n v="4"/>
    <n v="109121"/>
    <n v="72"/>
    <x v="1"/>
    <n v="5456.05"/>
    <x v="0"/>
  </r>
  <r>
    <s v="EMP060"/>
    <s v="Amanda Brown"/>
    <s v="MKT04"/>
    <x v="1"/>
    <d v="2020-06-14T00:00:00"/>
    <n v="6"/>
    <n v="112791"/>
    <n v="87"/>
    <x v="3"/>
    <n v="9023.2800000000007"/>
    <x v="0"/>
  </r>
  <r>
    <s v="EMP135"/>
    <s v="Robert Martinez"/>
    <s v="IT02"/>
    <x v="0"/>
    <d v="2022-07-05T00:00:00"/>
    <n v="4"/>
    <n v="118008"/>
    <n v="71"/>
    <x v="1"/>
    <n v="5900.4000000000005"/>
    <x v="0"/>
  </r>
  <r>
    <s v="EMP004"/>
    <s v="Thomas Miller"/>
    <s v="IT02"/>
    <x v="0"/>
    <d v="2016-07-10T00:00:00"/>
    <n v="9"/>
    <n v="74370"/>
    <n v="82"/>
    <x v="1"/>
    <n v="3718.5"/>
    <x v="0"/>
  </r>
  <r>
    <s v="EMP018"/>
    <s v="David Rodriguez"/>
    <s v="IT02"/>
    <x v="0"/>
    <d v="2022-04-23T00:00:00"/>
    <n v="4"/>
    <n v="77819"/>
    <n v="79"/>
    <x v="1"/>
    <n v="3890.9500000000003"/>
    <x v="0"/>
  </r>
  <r>
    <s v="EMP039"/>
    <s v="Jane Miller"/>
    <s v="MKT04"/>
    <x v="1"/>
    <d v="2017-05-10T00:00:00"/>
    <n v="9"/>
    <n v="48748"/>
    <n v="83"/>
    <x v="1"/>
    <n v="2437.4"/>
    <x v="0"/>
  </r>
  <r>
    <s v="EMP073"/>
    <s v="James Rodriguez"/>
    <s v="OPS06"/>
    <x v="3"/>
    <d v="2020-05-20T00:00:00"/>
    <n v="6"/>
    <n v="101997"/>
    <n v="38"/>
    <x v="2"/>
    <n v="0"/>
    <x v="2"/>
  </r>
  <r>
    <s v="EMP138"/>
    <s v="Sarah Rodriguez"/>
    <s v="HR01"/>
    <x v="5"/>
    <d v="2023-04-20T00:00:00"/>
    <n v="3"/>
    <n v="115260"/>
    <n v="77"/>
    <x v="1"/>
    <n v="5763"/>
    <x v="0"/>
  </r>
  <r>
    <s v="EMP007"/>
    <s v="Sarah Wilson"/>
    <s v="SAL05"/>
    <x v="4"/>
    <d v="2021-10-31T00:00:00"/>
    <n v="4"/>
    <n v="79271"/>
    <n v="49"/>
    <x v="2"/>
    <n v="0"/>
    <x v="0"/>
  </r>
  <r>
    <s v="EMP144"/>
    <s v="Melissa Brown"/>
    <s v="IT02"/>
    <x v="0"/>
    <d v="2021-10-24T00:00:00"/>
    <n v="4"/>
    <n v="79271"/>
    <n v="69"/>
    <x v="0"/>
    <n v="1585.42"/>
    <x v="1"/>
  </r>
  <r>
    <s v="EMP101"/>
    <s v="Robert Williams"/>
    <s v="SAL05"/>
    <x v="4"/>
    <d v="2017-08-09T00:00:00"/>
    <n v="8"/>
    <n v="79271"/>
    <n v="76"/>
    <x v="1"/>
    <n v="3963.55"/>
    <x v="0"/>
  </r>
  <r>
    <s v="EMP003"/>
    <s v="Melissa Rodriguez"/>
    <s v="OPS06"/>
    <x v="3"/>
    <d v="2023-01-04T00:00:00"/>
    <n v="3"/>
    <n v="60623"/>
    <n v="78"/>
    <x v="1"/>
    <n v="3031.15"/>
    <x v="0"/>
  </r>
  <r>
    <s v="EMP121"/>
    <s v="James Johnson"/>
    <s v="HR01"/>
    <x v="5"/>
    <d v="2020-08-10T00:00:00"/>
    <n v="5"/>
    <n v="68092"/>
    <n v="93"/>
    <x v="3"/>
    <n v="5447.36"/>
    <x v="0"/>
  </r>
  <r>
    <s v="EMP064"/>
    <s v="Michael Wilson"/>
    <s v="MKT04"/>
    <x v="1"/>
    <d v="2022-04-02T00:00:00"/>
    <n v="4"/>
    <n v="88155"/>
    <n v="68"/>
    <x v="0"/>
    <n v="1763.1000000000001"/>
    <x v="0"/>
  </r>
  <r>
    <s v="EMP116"/>
    <s v="William Jones"/>
    <s v="MKT04"/>
    <x v="1"/>
    <d v="2018-03-24T00:00:00"/>
    <n v="8"/>
    <n v="107903"/>
    <n v="42"/>
    <x v="2"/>
    <n v="0"/>
    <x v="0"/>
  </r>
  <r>
    <s v="EMP055"/>
    <s v="William Williams"/>
    <s v="IT02"/>
    <x v="0"/>
    <d v="2018-07-24T00:00:00"/>
    <n v="7"/>
    <n v="62818"/>
    <n v="34"/>
    <x v="2"/>
    <n v="0"/>
    <x v="0"/>
  </r>
  <r>
    <s v="EMP108"/>
    <s v="David Williams"/>
    <s v="HR01"/>
    <x v="5"/>
    <d v="2018-07-20T00:00:00"/>
    <n v="7"/>
    <n v="85151"/>
    <n v="35"/>
    <x v="2"/>
    <n v="0"/>
    <x v="0"/>
  </r>
  <r>
    <s v="EMP051"/>
    <s v="Jane Davis"/>
    <s v="FIN03"/>
    <x v="2"/>
    <d v="2016-03-04T00:00:00"/>
    <n v="10"/>
    <n v="46390"/>
    <n v="95"/>
    <x v="4"/>
    <n v="5566.8"/>
    <x v="0"/>
  </r>
  <r>
    <s v="EMP059"/>
    <s v="John Martinez"/>
    <s v="HR01"/>
    <x v="5"/>
    <d v="2022-03-23T00:00:00"/>
    <n v="4"/>
    <n v="111920"/>
    <n v="90"/>
    <x v="3"/>
    <n v="8953.6"/>
    <x v="1"/>
  </r>
  <r>
    <s v="EMP049"/>
    <s v="David Anderson"/>
    <s v="HR01"/>
    <x v="5"/>
    <d v="2017-07-28T00:00:00"/>
    <n v="8"/>
    <n v="115618"/>
    <n v="42"/>
    <x v="2"/>
    <n v="0"/>
    <x v="0"/>
  </r>
  <r>
    <s v="EMP089"/>
    <s v="Sarah Smith"/>
    <s v="SAL05"/>
    <x v="4"/>
    <d v="2023-05-11T00:00:00"/>
    <n v="3"/>
    <n v="110618"/>
    <n v="88"/>
    <x v="3"/>
    <n v="8849.44"/>
    <x v="2"/>
  </r>
  <r>
    <s v="EMP022"/>
    <s v="Melissa Hernandez"/>
    <s v="OPS06"/>
    <x v="3"/>
    <d v="2022-03-19T00:00:00"/>
    <n v="4"/>
    <n v="108395"/>
    <n v="78"/>
    <x v="1"/>
    <n v="5419.75"/>
    <x v="1"/>
  </r>
  <r>
    <s v="EMP058"/>
    <s v="Melissa Johnson"/>
    <s v="FIN03"/>
    <x v="2"/>
    <d v="2017-12-22T00:00:00"/>
    <n v="8"/>
    <n v="88005"/>
    <n v="69"/>
    <x v="0"/>
    <n v="1760.1000000000001"/>
    <x v="0"/>
  </r>
  <r>
    <s v="EMP130"/>
    <s v="Jane Garcia"/>
    <s v="MKT04"/>
    <x v="1"/>
    <d v="2021-08-29T00:00:00"/>
    <n v="4"/>
    <n v="83007"/>
    <n v="82"/>
    <x v="1"/>
    <n v="4150.3500000000004"/>
    <x v="0"/>
  </r>
  <r>
    <s v="EMP038"/>
    <s v="David Davis"/>
    <s v="IT02"/>
    <x v="0"/>
    <d v="2018-09-17T00:00:00"/>
    <n v="7"/>
    <n v="61547"/>
    <n v="68"/>
    <x v="0"/>
    <n v="1230.94"/>
    <x v="0"/>
  </r>
  <r>
    <s v="EMP148"/>
    <s v="James Wilson"/>
    <s v="SAL05"/>
    <x v="4"/>
    <d v="2021-06-28T00:00:00"/>
    <n v="5"/>
    <n v="79271"/>
    <n v="52"/>
    <x v="0"/>
    <n v="1585.42"/>
    <x v="0"/>
  </r>
  <r>
    <s v="EMP002"/>
    <s v="Richard Johnson"/>
    <s v="OPS06"/>
    <x v="3"/>
    <d v="2017-10-03T00:00:00"/>
    <n v="8"/>
    <n v="50399"/>
    <n v="92"/>
    <x v="3"/>
    <n v="4031.92"/>
    <x v="1"/>
  </r>
  <r>
    <s v="EMP053"/>
    <s v="Richard Williams"/>
    <s v="FIN03"/>
    <x v="2"/>
    <d v="2015-10-22T00:00:00"/>
    <n v="10"/>
    <n v="79271"/>
    <n v="62"/>
    <x v="0"/>
    <n v="1585.42"/>
    <x v="0"/>
  </r>
  <r>
    <s v="EMP131"/>
    <s v="John Hernandez"/>
    <s v="OPS06"/>
    <x v="3"/>
    <d v="2018-06-06T00:00:00"/>
    <n v="8"/>
    <n v="52720"/>
    <n v="68"/>
    <x v="0"/>
    <n v="1054.4000000000001"/>
    <x v="0"/>
  </r>
  <r>
    <s v="EMP104"/>
    <s v="Sarah Gonzalez"/>
    <s v="OPS06"/>
    <x v="3"/>
    <d v="2017-07-16T00:00:00"/>
    <n v="8"/>
    <n v="65065"/>
    <n v="98"/>
    <x v="4"/>
    <n v="7807.7999999999993"/>
    <x v="0"/>
  </r>
  <r>
    <s v="EMP100"/>
    <s v="Melissa Hernandez"/>
    <s v="SAL05"/>
    <x v="4"/>
    <d v="2015-06-20T00:00:00"/>
    <n v="11"/>
    <n v="79271"/>
    <n v="94"/>
    <x v="3"/>
    <n v="6341.68"/>
    <x v="2"/>
  </r>
  <r>
    <s v="EMP117"/>
    <s v="Melissa Hernandez"/>
    <s v="OPS06"/>
    <x v="3"/>
    <d v="2019-05-24T00:00:00"/>
    <n v="7"/>
    <n v="108119"/>
    <n v="57"/>
    <x v="0"/>
    <n v="2162.38"/>
    <x v="2"/>
  </r>
  <r>
    <s v="EMP088"/>
    <s v="John Davis"/>
    <s v="IT02"/>
    <x v="0"/>
    <d v="2020-02-26T00:00:00"/>
    <n v="6"/>
    <n v="79271"/>
    <n v="96"/>
    <x v="4"/>
    <n v="9512.52"/>
    <x v="0"/>
  </r>
  <r>
    <s v="EMP075"/>
    <s v="Richard Davis"/>
    <s v="HR01"/>
    <x v="5"/>
    <d v="2023-03-06T00:00:00"/>
    <n v="3"/>
    <n v="106896"/>
    <n v="52"/>
    <x v="0"/>
    <n v="2137.92"/>
    <x v="1"/>
  </r>
  <r>
    <s v="EMP122"/>
    <s v="Jones"/>
    <s v="IT02"/>
    <x v="0"/>
    <d v="2019-01-12T00:00:00"/>
    <n v="7"/>
    <n v="112887"/>
    <n v="59"/>
    <x v="0"/>
    <n v="2257.7400000000002"/>
    <x v="0"/>
  </r>
  <r>
    <s v="EMP021"/>
    <s v="William Rodriguez"/>
    <s v="FIN03"/>
    <x v="2"/>
    <d v="2023-04-21T00:00:00"/>
    <n v="3"/>
    <n v="85457"/>
    <n v="79"/>
    <x v="1"/>
    <n v="4272.8500000000004"/>
    <x v="0"/>
  </r>
  <r>
    <s v="EMP072"/>
    <s v="Melissa Miller"/>
    <s v="SAL05"/>
    <x v="4"/>
    <d v="2016-05-29T00:00:00"/>
    <n v="10"/>
    <n v="62798"/>
    <n v="30"/>
    <x v="2"/>
    <n v="0"/>
    <x v="0"/>
  </r>
  <r>
    <s v="EMP107"/>
    <s v="Emily Martinez"/>
    <s v="OPS06"/>
    <x v="3"/>
    <d v="2022-05-30T00:00:00"/>
    <n v="4"/>
    <n v="47794"/>
    <n v="73"/>
    <x v="1"/>
    <n v="2389.7000000000003"/>
    <x v="1"/>
  </r>
  <r>
    <s v="EMP093"/>
    <s v="James Rodriguez"/>
    <s v="MKT04"/>
    <x v="1"/>
    <d v="2016-11-03T00:00:00"/>
    <n v="9"/>
    <n v="93094"/>
    <n v="74"/>
    <x v="1"/>
    <n v="4654.7"/>
    <x v="0"/>
  </r>
  <r>
    <s v="EMP103"/>
    <s v="Amanda Brown"/>
    <s v="IT02"/>
    <x v="0"/>
    <d v="2022-10-14T00:00:00"/>
    <n v="3"/>
    <n v="118634"/>
    <n v="91"/>
    <x v="3"/>
    <n v="9490.719999999999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861A1-C0C4-4642-B039-3D69CEC55446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C15:D19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numFmtId="164" showAll="0"/>
    <pivotField dataField="1"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erf_Score" fld="7" subtotal="average" baseField="10" baseItem="0" numFmtId="2"/>
  </dataFields>
  <formats count="1">
    <format dxfId="0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2AC3E-FC15-4105-A80D-FB9802B5E81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8">
  <location ref="F3:J11" firstHeaderRow="1" firstDataRow="2" firstDataCol="1"/>
  <pivotFields count="11">
    <pivotField dataField="1" showAll="0"/>
    <pivotField showAll="0"/>
    <pivotField showAll="0"/>
    <pivotField axis="axisRow" showAll="0">
      <items count="7">
        <item x="2"/>
        <item x="5"/>
        <item x="0"/>
        <item x="1"/>
        <item x="3"/>
        <item x="4"/>
        <item t="default"/>
      </items>
    </pivotField>
    <pivotField numFmtId="14" showAll="0"/>
    <pivotField showAll="0"/>
    <pivotField numFmtId="164" showAll="0"/>
    <pivotField showAll="0"/>
    <pivotField showAll="0"/>
    <pivotField numFmtId="164"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Emp ID" fld="0" subtotal="count" baseField="0" baseItem="0"/>
  </dataFields>
  <chartFormats count="51"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0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0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0"/>
          </reference>
        </references>
      </pivotArea>
    </chartFormat>
    <chartFormat chart="10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0"/>
          </reference>
        </references>
      </pivotArea>
    </chartFormat>
    <chartFormat chart="10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0"/>
          </reference>
        </references>
      </pivotArea>
    </chartFormat>
    <chartFormat chart="10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0" count="1" selected="0">
            <x v="0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"/>
          </reference>
        </references>
      </pivotArea>
    </chartFormat>
    <chartFormat chart="10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1"/>
          </reference>
        </references>
      </pivotArea>
    </chartFormat>
    <chartFormat chart="10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"/>
          </reference>
        </references>
      </pivotArea>
    </chartFormat>
    <chartFormat chart="10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1"/>
          </reference>
        </references>
      </pivotArea>
    </chartFormat>
    <chartFormat chart="10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"/>
          </reference>
        </references>
      </pivotArea>
    </chartFormat>
    <chartFormat chart="10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0" count="1" selected="0">
            <x v="1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"/>
          </reference>
        </references>
      </pivotArea>
    </chartFormat>
    <chartFormat chart="10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2"/>
          </reference>
        </references>
      </pivotArea>
    </chartFormat>
    <chartFormat chart="10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"/>
          </reference>
        </references>
      </pivotArea>
    </chartFormat>
    <chartFormat chart="10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2"/>
          </reference>
        </references>
      </pivotArea>
    </chartFormat>
    <chartFormat chart="10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2"/>
          </reference>
        </references>
      </pivotArea>
    </chartFormat>
    <chartFormat chart="10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0" count="1" selected="0">
            <x v="2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4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0"/>
          </reference>
        </references>
      </pivotArea>
    </chartFormat>
    <chartFormat chart="14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0"/>
          </reference>
        </references>
      </pivotArea>
    </chartFormat>
    <chartFormat chart="14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0"/>
          </reference>
        </references>
      </pivotArea>
    </chartFormat>
    <chartFormat chart="14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0"/>
          </reference>
        </references>
      </pivotArea>
    </chartFormat>
    <chartFormat chart="14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0"/>
          </reference>
        </references>
      </pivotArea>
    </chartFormat>
    <chartFormat chart="14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0" count="1" selected="0">
            <x v="0"/>
          </reference>
        </references>
      </pivotArea>
    </chartFormat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"/>
          </reference>
        </references>
      </pivotArea>
    </chartFormat>
    <chartFormat chart="14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1"/>
          </reference>
        </references>
      </pivotArea>
    </chartFormat>
    <chartFormat chart="14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"/>
          </reference>
        </references>
      </pivotArea>
    </chartFormat>
    <chartFormat chart="14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1"/>
          </reference>
        </references>
      </pivotArea>
    </chartFormat>
    <chartFormat chart="14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"/>
          </reference>
        </references>
      </pivotArea>
    </chartFormat>
    <chartFormat chart="14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0" count="1" selected="0">
            <x v="1"/>
          </reference>
        </references>
      </pivotArea>
    </chartFormat>
    <chartFormat chart="14" format="3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"/>
          </reference>
        </references>
      </pivotArea>
    </chartFormat>
    <chartFormat chart="14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2"/>
          </reference>
        </references>
      </pivotArea>
    </chartFormat>
    <chartFormat chart="14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"/>
          </reference>
        </references>
      </pivotArea>
    </chartFormat>
    <chartFormat chart="14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2"/>
          </reference>
        </references>
      </pivotArea>
    </chartFormat>
    <chartFormat chart="14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2"/>
          </reference>
        </references>
      </pivotArea>
    </chartFormat>
    <chartFormat chart="14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0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409C3-1027-4891-8CAE-E0054DC91A2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C3:D10" firstHeaderRow="1" firstDataRow="1" firstDataCol="1"/>
  <pivotFields count="11">
    <pivotField showAll="0"/>
    <pivotField showAll="0"/>
    <pivotField showAll="0"/>
    <pivotField axis="axisRow" showAll="0" sortType="ascending">
      <items count="7">
        <item x="2"/>
        <item x="5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numFmtId="164" showAll="0"/>
    <pivotField showAll="0"/>
    <pivotField showAll="0"/>
    <pivotField numFmtId="164" showAll="0"/>
    <pivotField showAll="0"/>
  </pivotFields>
  <rowFields count="1">
    <field x="3"/>
  </rowFields>
  <rowItems count="7">
    <i>
      <x v="4"/>
    </i>
    <i>
      <x v="2"/>
    </i>
    <i>
      <x v="3"/>
    </i>
    <i>
      <x v="5"/>
    </i>
    <i>
      <x v="1"/>
    </i>
    <i>
      <x/>
    </i>
    <i t="grand">
      <x/>
    </i>
  </rowItems>
  <colItems count="1">
    <i/>
  </colItems>
  <dataFields count="1">
    <dataField name="Average of Salary" fld="6" subtotal="average" baseField="3" baseItem="0" numFmtId="164"/>
  </dataFields>
  <formats count="1">
    <format dxfId="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81AA0-FD8A-4D61-92A2-07E6D0B248DD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11">
    <pivotField dataField="1" showAll="0"/>
    <pivotField showAll="0"/>
    <pivotField showAll="0"/>
    <pivotField showAll="0"/>
    <pivotField numFmtId="14" showAll="0"/>
    <pivotField showAll="0"/>
    <pivotField numFmtId="164" showAll="0"/>
    <pivotField showAll="0"/>
    <pivotField showAll="0"/>
    <pivotField numFmtId="164" showAll="0"/>
    <pivotField showAll="0"/>
  </pivotFields>
  <rowItems count="1">
    <i/>
  </rowItems>
  <colItems count="1">
    <i/>
  </colItems>
  <dataFields count="1">
    <dataField name="Count of Emp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A7A1E-6D3D-443B-946D-DE6A99379C3C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F15:G21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numFmtId="164"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dataField="1" numFmtId="164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ligible Bonus Amount" fld="9" baseField="0" baseItem="0" numFmtId="164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03B8F-0939-4E89-BCB3-0D27B443B432}" name="Table1" displayName="Table1" ref="A1:K151" totalsRowShown="0" headerRowDxfId="16" headerRowBorderDxfId="15" tableBorderDxfId="14">
  <autoFilter ref="A1:K151" xr:uid="{F3703B8F-0939-4E89-BCB3-0D27B443B432}"/>
  <tableColumns count="11">
    <tableColumn id="1" xr3:uid="{8FB39840-B6F9-40F4-B174-36648DB9CA7D}" name="Emp ID"/>
    <tableColumn id="9" xr3:uid="{712CBA6B-7F46-42C0-BC8F-3F3A17B33784}" name="Full Name" dataDxfId="13"/>
    <tableColumn id="10" xr3:uid="{84433E98-0560-40CE-B7BF-3317B82DB7FC}" name="Dept Code" dataDxfId="12"/>
    <tableColumn id="3" xr3:uid="{EE55AF4C-9966-4508-B043-DA373B10ABA8}" name="Department Name" dataDxfId="11">
      <calculatedColumnFormula>VLOOKUP(Table1[[#This Row],[Dept Code]],Lookup_Departments!$A$1:$B$7,2,0)</calculatedColumnFormula>
    </tableColumn>
    <tableColumn id="5" xr3:uid="{29E8701D-83DA-45C7-AA5E-4DC22823E306}" name="Hire Date" dataDxfId="10"/>
    <tableColumn id="4" xr3:uid="{7B6A7DE7-5963-4EA1-974F-ED99DC2A2299}" name="Years of Service" dataDxfId="9">
      <calculatedColumnFormula>DATEDIF(E2,TODAY(),"Y")</calculatedColumnFormula>
    </tableColumn>
    <tableColumn id="12" xr3:uid="{E1C6B182-21F8-4C94-B35F-6E1D39A5B8D5}" name="Salary" dataDxfId="8" dataCellStyle="Currency"/>
    <tableColumn id="7" xr3:uid="{2D7B1CBF-BB81-46DF-99B3-EA51BE4AC611}" name="Perf_Score" dataDxfId="7"/>
    <tableColumn id="6" xr3:uid="{B612875A-C494-4FE4-966B-7FD241BB0798}" name="Performance Band" dataDxfId="6">
      <calculatedColumnFormula>VLOOKUP(H2,Lookup_Performance!$A$2:$D$6,3,TRUE)</calculatedColumnFormula>
    </tableColumn>
    <tableColumn id="8" xr3:uid="{B14134F1-9ACB-456E-B60F-55BC5BE423F8}" name="Eligible Bonus Amount" dataDxfId="5">
      <calculatedColumnFormula>IFERROR(G2*VLOOKUP(H2,Lookup_Performance!$A$2:$D$6,4,TRUE),0)</calculatedColumnFormula>
    </tableColumn>
    <tableColumn id="2" xr3:uid="{7D231F97-FD0C-4D56-965B-F4D7E48C56F6}" name="Employment Statu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activeCell="F10" sqref="F10"/>
    </sheetView>
  </sheetViews>
  <sheetFormatPr defaultRowHeight="15" x14ac:dyDescent="0.25"/>
  <cols>
    <col min="1" max="1" width="9.42578125" bestFit="1" customWidth="1"/>
    <col min="2" max="2" width="18.28515625" bestFit="1" customWidth="1"/>
    <col min="3" max="3" width="12.5703125" bestFit="1" customWidth="1"/>
    <col min="4" max="4" width="22.5703125" bestFit="1" customWidth="1"/>
    <col min="5" max="5" width="11.5703125" bestFit="1" customWidth="1"/>
    <col min="6" max="6" width="17.42578125" bestFit="1" customWidth="1"/>
    <col min="7" max="7" width="10" bestFit="1" customWidth="1"/>
    <col min="8" max="8" width="12.85546875" bestFit="1" customWidth="1"/>
    <col min="9" max="9" width="19.85546875" bestFit="1" customWidth="1"/>
    <col min="10" max="10" width="23.7109375" bestFit="1" customWidth="1"/>
    <col min="11" max="11" width="20.7109375" bestFit="1" customWidth="1"/>
  </cols>
  <sheetData>
    <row r="1" spans="1:11" s="4" customFormat="1" x14ac:dyDescent="0.25">
      <c r="A1" s="3" t="s">
        <v>0</v>
      </c>
      <c r="B1" s="3" t="s">
        <v>184</v>
      </c>
      <c r="C1" s="3" t="s">
        <v>1</v>
      </c>
      <c r="D1" s="3" t="s">
        <v>292</v>
      </c>
      <c r="E1" s="3" t="s">
        <v>2</v>
      </c>
      <c r="F1" s="3" t="s">
        <v>293</v>
      </c>
      <c r="G1" s="3" t="s">
        <v>3</v>
      </c>
      <c r="H1" s="3" t="s">
        <v>4</v>
      </c>
      <c r="I1" s="3" t="s">
        <v>294</v>
      </c>
      <c r="J1" s="3" t="s">
        <v>295</v>
      </c>
      <c r="K1" s="3" t="s">
        <v>5</v>
      </c>
    </row>
    <row r="2" spans="1:11" x14ac:dyDescent="0.25">
      <c r="A2" t="s">
        <v>6</v>
      </c>
      <c r="B2" s="2" t="s">
        <v>185</v>
      </c>
      <c r="C2" t="s">
        <v>8</v>
      </c>
      <c r="D2" t="str">
        <f>VLOOKUP(Table1[[#This Row],[Dept Code]],Lookup_Departments!$A$1:$B$7,2,0)</f>
        <v>Information Technology</v>
      </c>
      <c r="E2" s="5">
        <v>43093</v>
      </c>
      <c r="F2" s="6">
        <f t="shared" ref="F2:F33" ca="1" si="0">DATEDIF(E2,TODAY(),"Y")</f>
        <v>8</v>
      </c>
      <c r="G2" s="7">
        <v>50361</v>
      </c>
      <c r="H2" s="6">
        <v>52</v>
      </c>
      <c r="I2" t="str">
        <f>VLOOKUP(H2,Lookup_Performance!$A$2:$D$6,3,TRUE)</f>
        <v>Developing</v>
      </c>
      <c r="J2" s="9">
        <f>IFERROR(G2*VLOOKUP(H2,Lookup_Performance!$A$2:$D$6,4,TRUE),0)</f>
        <v>1007.22</v>
      </c>
      <c r="K2" t="s">
        <v>289</v>
      </c>
    </row>
    <row r="3" spans="1:11" x14ac:dyDescent="0.25">
      <c r="A3" t="s">
        <v>9</v>
      </c>
      <c r="B3" s="2" t="s">
        <v>186</v>
      </c>
      <c r="C3" t="s">
        <v>10</v>
      </c>
      <c r="D3" t="str">
        <f>VLOOKUP(Table1[[#This Row],[Dept Code]],Lookup_Departments!$A$1:$B$7,2,0)</f>
        <v>Marketing</v>
      </c>
      <c r="E3" s="5">
        <v>44659</v>
      </c>
      <c r="F3" s="6">
        <f t="shared" ca="1" si="0"/>
        <v>4</v>
      </c>
      <c r="G3" s="7">
        <v>112673</v>
      </c>
      <c r="H3" s="6">
        <v>70</v>
      </c>
      <c r="I3" t="str">
        <f>VLOOKUP(H3,Lookup_Performance!$A$2:$D$6,3,TRUE)</f>
        <v>Achieving</v>
      </c>
      <c r="J3" s="9">
        <f>IFERROR(G3*VLOOKUP(H3,Lookup_Performance!$A$2:$D$6,4,TRUE),0)</f>
        <v>5633.6500000000005</v>
      </c>
      <c r="K3" t="s">
        <v>289</v>
      </c>
    </row>
    <row r="4" spans="1:11" x14ac:dyDescent="0.25">
      <c r="A4" t="s">
        <v>11</v>
      </c>
      <c r="B4" s="2" t="s">
        <v>187</v>
      </c>
      <c r="C4" t="s">
        <v>8</v>
      </c>
      <c r="D4" t="str">
        <f>VLOOKUP(Table1[[#This Row],[Dept Code]],Lookup_Departments!$A$1:$B$7,2,0)</f>
        <v>Information Technology</v>
      </c>
      <c r="E4" s="5">
        <v>42431</v>
      </c>
      <c r="F4" s="6">
        <f t="shared" ca="1" si="0"/>
        <v>10</v>
      </c>
      <c r="G4" s="7">
        <v>114425</v>
      </c>
      <c r="H4" s="6">
        <v>54</v>
      </c>
      <c r="I4" t="str">
        <f>VLOOKUP(H4,Lookup_Performance!$A$2:$D$6,3,TRUE)</f>
        <v>Developing</v>
      </c>
      <c r="J4" s="9">
        <f>IFERROR(G4*VLOOKUP(H4,Lookup_Performance!$A$2:$D$6,4,TRUE),0)</f>
        <v>2288.5</v>
      </c>
      <c r="K4" t="s">
        <v>290</v>
      </c>
    </row>
    <row r="5" spans="1:11" x14ac:dyDescent="0.25">
      <c r="A5" t="s">
        <v>12</v>
      </c>
      <c r="B5" s="2" t="s">
        <v>188</v>
      </c>
      <c r="C5" t="s">
        <v>13</v>
      </c>
      <c r="D5" t="str">
        <f>VLOOKUP(Table1[[#This Row],[Dept Code]],Lookup_Departments!$A$1:$B$7,2,0)</f>
        <v>Finance</v>
      </c>
      <c r="E5" s="5">
        <v>45110</v>
      </c>
      <c r="F5" s="6">
        <f t="shared" ca="1" si="0"/>
        <v>3</v>
      </c>
      <c r="G5" s="7">
        <v>103831</v>
      </c>
      <c r="H5" s="6">
        <v>70</v>
      </c>
      <c r="I5" t="str">
        <f>VLOOKUP(H5,Lookup_Performance!$A$2:$D$6,3,TRUE)</f>
        <v>Achieving</v>
      </c>
      <c r="J5" s="9">
        <f>IFERROR(G5*VLOOKUP(H5,Lookup_Performance!$A$2:$D$6,4,TRUE),0)</f>
        <v>5191.55</v>
      </c>
      <c r="K5" t="s">
        <v>289</v>
      </c>
    </row>
    <row r="6" spans="1:11" x14ac:dyDescent="0.25">
      <c r="A6" t="s">
        <v>14</v>
      </c>
      <c r="B6" s="2" t="s">
        <v>189</v>
      </c>
      <c r="C6" t="s">
        <v>8</v>
      </c>
      <c r="D6" t="str">
        <f>VLOOKUP(Table1[[#This Row],[Dept Code]],Lookup_Departments!$A$1:$B$7,2,0)</f>
        <v>Information Technology</v>
      </c>
      <c r="E6" s="5">
        <v>44977</v>
      </c>
      <c r="F6" s="6">
        <f t="shared" ca="1" si="0"/>
        <v>3</v>
      </c>
      <c r="G6" s="7">
        <v>73785</v>
      </c>
      <c r="H6" s="6">
        <v>40</v>
      </c>
      <c r="I6" t="str">
        <f>VLOOKUP(H6,Lookup_Performance!$A$2:$D$6,3,TRUE)</f>
        <v>Needs Improvement</v>
      </c>
      <c r="J6" s="9">
        <f>IFERROR(G6*VLOOKUP(H6,Lookup_Performance!$A$2:$D$6,4,TRUE),0)</f>
        <v>0</v>
      </c>
      <c r="K6" t="s">
        <v>290</v>
      </c>
    </row>
    <row r="7" spans="1:11" x14ac:dyDescent="0.25">
      <c r="A7" t="s">
        <v>16</v>
      </c>
      <c r="B7" s="2" t="s">
        <v>190</v>
      </c>
      <c r="C7" t="s">
        <v>17</v>
      </c>
      <c r="D7" t="str">
        <f>VLOOKUP(Table1[[#This Row],[Dept Code]],Lookup_Departments!$A$1:$B$7,2,0)</f>
        <v>Operations</v>
      </c>
      <c r="E7" s="5">
        <v>43892</v>
      </c>
      <c r="F7" s="6">
        <f t="shared" ca="1" si="0"/>
        <v>6</v>
      </c>
      <c r="G7" s="7">
        <v>115882</v>
      </c>
      <c r="H7" s="6">
        <v>49</v>
      </c>
      <c r="I7" t="str">
        <f>VLOOKUP(H7,Lookup_Performance!$A$2:$D$6,3,TRUE)</f>
        <v>Needs Improvement</v>
      </c>
      <c r="J7" s="9">
        <f>IFERROR(G7*VLOOKUP(H7,Lookup_Performance!$A$2:$D$6,4,TRUE),0)</f>
        <v>0</v>
      </c>
      <c r="K7" t="s">
        <v>289</v>
      </c>
    </row>
    <row r="8" spans="1:11" x14ac:dyDescent="0.25">
      <c r="A8" t="s">
        <v>18</v>
      </c>
      <c r="B8" s="2" t="s">
        <v>191</v>
      </c>
      <c r="C8" t="s">
        <v>17</v>
      </c>
      <c r="D8" t="str">
        <f>VLOOKUP(Table1[[#This Row],[Dept Code]],Lookup_Departments!$A$1:$B$7,2,0)</f>
        <v>Operations</v>
      </c>
      <c r="E8" s="5">
        <v>45272</v>
      </c>
      <c r="F8" s="6">
        <f t="shared" ca="1" si="0"/>
        <v>2</v>
      </c>
      <c r="G8" s="7">
        <v>59980</v>
      </c>
      <c r="H8" s="6">
        <v>70</v>
      </c>
      <c r="I8" t="str">
        <f>VLOOKUP(H8,Lookup_Performance!$A$2:$D$6,3,TRUE)</f>
        <v>Achieving</v>
      </c>
      <c r="J8" s="9">
        <f>IFERROR(G8*VLOOKUP(H8,Lookup_Performance!$A$2:$D$6,4,TRUE),0)</f>
        <v>2999</v>
      </c>
      <c r="K8" t="s">
        <v>290</v>
      </c>
    </row>
    <row r="9" spans="1:11" x14ac:dyDescent="0.25">
      <c r="A9" t="s">
        <v>19</v>
      </c>
      <c r="B9" s="2" t="s">
        <v>192</v>
      </c>
      <c r="C9" t="s">
        <v>17</v>
      </c>
      <c r="D9" t="str">
        <f>VLOOKUP(Table1[[#This Row],[Dept Code]],Lookup_Departments!$A$1:$B$7,2,0)</f>
        <v>Operations</v>
      </c>
      <c r="E9" s="5">
        <v>44174</v>
      </c>
      <c r="F9" s="6">
        <f t="shared" ca="1" si="0"/>
        <v>5</v>
      </c>
      <c r="G9" s="7">
        <v>68728</v>
      </c>
      <c r="H9" s="6">
        <v>45</v>
      </c>
      <c r="I9" t="str">
        <f>VLOOKUP(H9,Lookup_Performance!$A$2:$D$6,3,TRUE)</f>
        <v>Needs Improvement</v>
      </c>
      <c r="J9" s="9">
        <f>IFERROR(G9*VLOOKUP(H9,Lookup_Performance!$A$2:$D$6,4,TRUE),0)</f>
        <v>0</v>
      </c>
      <c r="K9" t="s">
        <v>289</v>
      </c>
    </row>
    <row r="10" spans="1:11" x14ac:dyDescent="0.25">
      <c r="A10" t="s">
        <v>20</v>
      </c>
      <c r="B10" s="2" t="s">
        <v>21</v>
      </c>
      <c r="C10" t="s">
        <v>13</v>
      </c>
      <c r="D10" t="str">
        <f>VLOOKUP(Table1[[#This Row],[Dept Code]],Lookup_Departments!$A$1:$B$7,2,0)</f>
        <v>Finance</v>
      </c>
      <c r="E10" s="5">
        <v>43107</v>
      </c>
      <c r="F10" s="6">
        <f t="shared" ca="1" si="0"/>
        <v>8</v>
      </c>
      <c r="G10" s="7">
        <v>102139</v>
      </c>
      <c r="H10" s="6">
        <v>79</v>
      </c>
      <c r="I10" t="str">
        <f>VLOOKUP(H10,Lookup_Performance!$A$2:$D$6,3,TRUE)</f>
        <v>Achieving</v>
      </c>
      <c r="J10" s="9">
        <f>IFERROR(G10*VLOOKUP(H10,Lookup_Performance!$A$2:$D$6,4,TRUE),0)</f>
        <v>5106.9500000000007</v>
      </c>
      <c r="K10" t="s">
        <v>289</v>
      </c>
    </row>
    <row r="11" spans="1:11" x14ac:dyDescent="0.25">
      <c r="A11" t="s">
        <v>22</v>
      </c>
      <c r="B11" s="2" t="s">
        <v>193</v>
      </c>
      <c r="C11" t="s">
        <v>23</v>
      </c>
      <c r="D11" t="str">
        <f>VLOOKUP(Table1[[#This Row],[Dept Code]],Lookup_Departments!$A$1:$B$7,2,0)</f>
        <v>Sales</v>
      </c>
      <c r="E11" s="5">
        <v>42676</v>
      </c>
      <c r="F11" s="6">
        <f t="shared" ca="1" si="0"/>
        <v>9</v>
      </c>
      <c r="G11" s="7">
        <v>94998</v>
      </c>
      <c r="H11" s="6">
        <v>58</v>
      </c>
      <c r="I11" t="str">
        <f>VLOOKUP(H11,Lookup_Performance!$A$2:$D$6,3,TRUE)</f>
        <v>Developing</v>
      </c>
      <c r="J11" s="9">
        <f>IFERROR(G11*VLOOKUP(H11,Lookup_Performance!$A$2:$D$6,4,TRUE),0)</f>
        <v>1899.96</v>
      </c>
      <c r="K11" t="s">
        <v>289</v>
      </c>
    </row>
    <row r="12" spans="1:11" x14ac:dyDescent="0.25">
      <c r="A12" t="s">
        <v>24</v>
      </c>
      <c r="B12" s="2" t="s">
        <v>194</v>
      </c>
      <c r="C12" t="s">
        <v>23</v>
      </c>
      <c r="D12" t="str">
        <f>VLOOKUP(Table1[[#This Row],[Dept Code]],Lookup_Departments!$A$1:$B$7,2,0)</f>
        <v>Sales</v>
      </c>
      <c r="E12" s="5">
        <v>43911</v>
      </c>
      <c r="F12" s="6">
        <f t="shared" ca="1" si="0"/>
        <v>6</v>
      </c>
      <c r="G12" s="7">
        <v>118635</v>
      </c>
      <c r="H12" s="6">
        <v>49</v>
      </c>
      <c r="I12" t="str">
        <f>VLOOKUP(H12,Lookup_Performance!$A$2:$D$6,3,TRUE)</f>
        <v>Needs Improvement</v>
      </c>
      <c r="J12" s="9">
        <f>IFERROR(G12*VLOOKUP(H12,Lookup_Performance!$A$2:$D$6,4,TRUE),0)</f>
        <v>0</v>
      </c>
      <c r="K12" t="s">
        <v>289</v>
      </c>
    </row>
    <row r="13" spans="1:11" x14ac:dyDescent="0.25">
      <c r="A13" t="s">
        <v>25</v>
      </c>
      <c r="B13" s="2" t="s">
        <v>195</v>
      </c>
      <c r="C13" t="s">
        <v>8</v>
      </c>
      <c r="D13" t="str">
        <f>VLOOKUP(Table1[[#This Row],[Dept Code]],Lookup_Departments!$A$1:$B$7,2,0)</f>
        <v>Information Technology</v>
      </c>
      <c r="E13" s="5">
        <v>42425</v>
      </c>
      <c r="F13" s="6">
        <f t="shared" ca="1" si="0"/>
        <v>10</v>
      </c>
      <c r="G13" s="7">
        <v>76918</v>
      </c>
      <c r="H13" s="6">
        <v>62</v>
      </c>
      <c r="I13" t="str">
        <f>VLOOKUP(H13,Lookup_Performance!$A$2:$D$6,3,TRUE)</f>
        <v>Developing</v>
      </c>
      <c r="J13" s="9">
        <f>IFERROR(G13*VLOOKUP(H13,Lookup_Performance!$A$2:$D$6,4,TRUE),0)</f>
        <v>1538.3600000000001</v>
      </c>
      <c r="K13" t="s">
        <v>289</v>
      </c>
    </row>
    <row r="14" spans="1:11" x14ac:dyDescent="0.25">
      <c r="A14" t="s">
        <v>26</v>
      </c>
      <c r="B14" s="2" t="s">
        <v>196</v>
      </c>
      <c r="C14" t="s">
        <v>10</v>
      </c>
      <c r="D14" t="str">
        <f>VLOOKUP(Table1[[#This Row],[Dept Code]],Lookup_Departments!$A$1:$B$7,2,0)</f>
        <v>Marketing</v>
      </c>
      <c r="E14" s="5">
        <v>44364</v>
      </c>
      <c r="F14" s="6">
        <f t="shared" ca="1" si="0"/>
        <v>5</v>
      </c>
      <c r="G14" s="7">
        <v>61408</v>
      </c>
      <c r="H14" s="6">
        <v>48</v>
      </c>
      <c r="I14" t="str">
        <f>VLOOKUP(H14,Lookup_Performance!$A$2:$D$6,3,TRUE)</f>
        <v>Needs Improvement</v>
      </c>
      <c r="J14" s="9">
        <f>IFERROR(G14*VLOOKUP(H14,Lookup_Performance!$A$2:$D$6,4,TRUE),0)</f>
        <v>0</v>
      </c>
      <c r="K14" t="s">
        <v>289</v>
      </c>
    </row>
    <row r="15" spans="1:11" x14ac:dyDescent="0.25">
      <c r="A15" t="s">
        <v>28</v>
      </c>
      <c r="B15" s="2" t="s">
        <v>197</v>
      </c>
      <c r="C15" t="s">
        <v>10</v>
      </c>
      <c r="D15" t="str">
        <f>VLOOKUP(Table1[[#This Row],[Dept Code]],Lookup_Departments!$A$1:$B$7,2,0)</f>
        <v>Marketing</v>
      </c>
      <c r="E15" s="5">
        <v>44001</v>
      </c>
      <c r="F15" s="6">
        <f t="shared" ca="1" si="0"/>
        <v>6</v>
      </c>
      <c r="G15" s="7">
        <v>99990</v>
      </c>
      <c r="H15" s="6">
        <v>54</v>
      </c>
      <c r="I15" t="str">
        <f>VLOOKUP(H15,Lookup_Performance!$A$2:$D$6,3,TRUE)</f>
        <v>Developing</v>
      </c>
      <c r="J15" s="9">
        <f>IFERROR(G15*VLOOKUP(H15,Lookup_Performance!$A$2:$D$6,4,TRUE),0)</f>
        <v>1999.8</v>
      </c>
      <c r="K15" t="s">
        <v>289</v>
      </c>
    </row>
    <row r="16" spans="1:11" x14ac:dyDescent="0.25">
      <c r="A16" t="s">
        <v>29</v>
      </c>
      <c r="B16" s="2" t="s">
        <v>198</v>
      </c>
      <c r="C16" t="s">
        <v>10</v>
      </c>
      <c r="D16" t="str">
        <f>VLOOKUP(Table1[[#This Row],[Dept Code]],Lookup_Departments!$A$1:$B$7,2,0)</f>
        <v>Marketing</v>
      </c>
      <c r="E16" s="5">
        <v>43820</v>
      </c>
      <c r="F16" s="6">
        <f t="shared" ca="1" si="0"/>
        <v>6</v>
      </c>
      <c r="G16" s="7">
        <v>80385</v>
      </c>
      <c r="H16" s="6">
        <v>70</v>
      </c>
      <c r="I16" t="str">
        <f>VLOOKUP(H16,Lookup_Performance!$A$2:$D$6,3,TRUE)</f>
        <v>Achieving</v>
      </c>
      <c r="J16" s="9">
        <f>IFERROR(G16*VLOOKUP(H16,Lookup_Performance!$A$2:$D$6,4,TRUE),0)</f>
        <v>4019.25</v>
      </c>
      <c r="K16" t="s">
        <v>289</v>
      </c>
    </row>
    <row r="17" spans="1:11" x14ac:dyDescent="0.25">
      <c r="A17" t="s">
        <v>31</v>
      </c>
      <c r="B17" s="2" t="s">
        <v>199</v>
      </c>
      <c r="C17" t="s">
        <v>23</v>
      </c>
      <c r="D17" t="str">
        <f>VLOOKUP(Table1[[#This Row],[Dept Code]],Lookup_Departments!$A$1:$B$7,2,0)</f>
        <v>Sales</v>
      </c>
      <c r="E17" s="5">
        <v>45169</v>
      </c>
      <c r="F17" s="6">
        <f t="shared" ca="1" si="0"/>
        <v>2</v>
      </c>
      <c r="G17" s="7">
        <v>65290</v>
      </c>
      <c r="H17" s="6">
        <v>77</v>
      </c>
      <c r="I17" t="str">
        <f>VLOOKUP(H17,Lookup_Performance!$A$2:$D$6,3,TRUE)</f>
        <v>Achieving</v>
      </c>
      <c r="J17" s="9">
        <f>IFERROR(G17*VLOOKUP(H17,Lookup_Performance!$A$2:$D$6,4,TRUE),0)</f>
        <v>3264.5</v>
      </c>
      <c r="K17" t="s">
        <v>289</v>
      </c>
    </row>
    <row r="18" spans="1:11" x14ac:dyDescent="0.25">
      <c r="A18" t="s">
        <v>32</v>
      </c>
      <c r="B18" s="2" t="s">
        <v>200</v>
      </c>
      <c r="C18" t="s">
        <v>8</v>
      </c>
      <c r="D18" t="str">
        <f>VLOOKUP(Table1[[#This Row],[Dept Code]],Lookup_Departments!$A$1:$B$7,2,0)</f>
        <v>Information Technology</v>
      </c>
      <c r="E18" s="5">
        <v>42337</v>
      </c>
      <c r="F18" s="6">
        <f t="shared" ca="1" si="0"/>
        <v>10</v>
      </c>
      <c r="G18" s="7">
        <v>105765</v>
      </c>
      <c r="H18" s="6">
        <v>42</v>
      </c>
      <c r="I18" t="str">
        <f>VLOOKUP(H18,Lookup_Performance!$A$2:$D$6,3,TRUE)</f>
        <v>Needs Improvement</v>
      </c>
      <c r="J18" s="9">
        <f>IFERROR(G18*VLOOKUP(H18,Lookup_Performance!$A$2:$D$6,4,TRUE),0)</f>
        <v>0</v>
      </c>
      <c r="K18" t="s">
        <v>289</v>
      </c>
    </row>
    <row r="19" spans="1:11" x14ac:dyDescent="0.25">
      <c r="A19" t="s">
        <v>33</v>
      </c>
      <c r="B19" s="2" t="s">
        <v>201</v>
      </c>
      <c r="C19" t="s">
        <v>23</v>
      </c>
      <c r="D19" t="str">
        <f>VLOOKUP(Table1[[#This Row],[Dept Code]],Lookup_Departments!$A$1:$B$7,2,0)</f>
        <v>Sales</v>
      </c>
      <c r="E19" s="5">
        <v>42899</v>
      </c>
      <c r="F19" s="6">
        <f t="shared" ca="1" si="0"/>
        <v>9</v>
      </c>
      <c r="G19" s="7">
        <v>102921</v>
      </c>
      <c r="H19" s="6">
        <v>49</v>
      </c>
      <c r="I19" t="str">
        <f>VLOOKUP(H19,Lookup_Performance!$A$2:$D$6,3,TRUE)</f>
        <v>Needs Improvement</v>
      </c>
      <c r="J19" s="9">
        <f>IFERROR(G19*VLOOKUP(H19,Lookup_Performance!$A$2:$D$6,4,TRUE),0)</f>
        <v>0</v>
      </c>
      <c r="K19" t="s">
        <v>289</v>
      </c>
    </row>
    <row r="20" spans="1:11" x14ac:dyDescent="0.25">
      <c r="A20" t="s">
        <v>34</v>
      </c>
      <c r="B20" s="2" t="s">
        <v>202</v>
      </c>
      <c r="C20" t="s">
        <v>10</v>
      </c>
      <c r="D20" t="str">
        <f>VLOOKUP(Table1[[#This Row],[Dept Code]],Lookup_Departments!$A$1:$B$7,2,0)</f>
        <v>Marketing</v>
      </c>
      <c r="E20" s="5">
        <v>43235</v>
      </c>
      <c r="F20" s="6">
        <f t="shared" ca="1" si="0"/>
        <v>8</v>
      </c>
      <c r="G20" s="7">
        <v>73984</v>
      </c>
      <c r="H20" s="6">
        <v>93</v>
      </c>
      <c r="I20" t="str">
        <f>VLOOKUP(H20,Lookup_Performance!$A$2:$D$6,3,TRUE)</f>
        <v>Exceeding</v>
      </c>
      <c r="J20" s="9">
        <f>IFERROR(G20*VLOOKUP(H20,Lookup_Performance!$A$2:$D$6,4,TRUE),0)</f>
        <v>5918.72</v>
      </c>
      <c r="K20" t="s">
        <v>289</v>
      </c>
    </row>
    <row r="21" spans="1:11" x14ac:dyDescent="0.25">
      <c r="A21" t="s">
        <v>35</v>
      </c>
      <c r="B21" s="2" t="s">
        <v>203</v>
      </c>
      <c r="C21" t="s">
        <v>8</v>
      </c>
      <c r="D21" t="str">
        <f>VLOOKUP(Table1[[#This Row],[Dept Code]],Lookup_Departments!$A$1:$B$7,2,0)</f>
        <v>Information Technology</v>
      </c>
      <c r="E21" s="5">
        <v>42575</v>
      </c>
      <c r="F21" s="6">
        <f t="shared" ca="1" si="0"/>
        <v>9</v>
      </c>
      <c r="G21" s="7">
        <v>79271</v>
      </c>
      <c r="H21" s="6">
        <v>75</v>
      </c>
      <c r="I21" t="str">
        <f>VLOOKUP(H21,Lookup_Performance!$A$2:$D$6,3,TRUE)</f>
        <v>Achieving</v>
      </c>
      <c r="J21" s="9">
        <f>IFERROR(G21*VLOOKUP(H21,Lookup_Performance!$A$2:$D$6,4,TRUE),0)</f>
        <v>3963.55</v>
      </c>
      <c r="K21" t="s">
        <v>289</v>
      </c>
    </row>
    <row r="22" spans="1:11" x14ac:dyDescent="0.25">
      <c r="A22" t="s">
        <v>36</v>
      </c>
      <c r="B22" s="2" t="s">
        <v>204</v>
      </c>
      <c r="C22" t="s">
        <v>13</v>
      </c>
      <c r="D22" t="str">
        <f>VLOOKUP(Table1[[#This Row],[Dept Code]],Lookup_Departments!$A$1:$B$7,2,0)</f>
        <v>Finance</v>
      </c>
      <c r="E22" s="5">
        <v>43076</v>
      </c>
      <c r="F22" s="6">
        <f t="shared" ca="1" si="0"/>
        <v>8</v>
      </c>
      <c r="G22" s="7">
        <v>118527</v>
      </c>
      <c r="H22" s="6">
        <v>50</v>
      </c>
      <c r="I22" t="str">
        <f>VLOOKUP(H22,Lookup_Performance!$A$2:$D$6,3,TRUE)</f>
        <v>Developing</v>
      </c>
      <c r="J22" s="9">
        <f>IFERROR(G22*VLOOKUP(H22,Lookup_Performance!$A$2:$D$6,4,TRUE),0)</f>
        <v>2370.54</v>
      </c>
      <c r="K22" t="s">
        <v>289</v>
      </c>
    </row>
    <row r="23" spans="1:11" x14ac:dyDescent="0.25">
      <c r="A23" t="s">
        <v>37</v>
      </c>
      <c r="B23" s="2" t="s">
        <v>186</v>
      </c>
      <c r="C23" t="s">
        <v>10</v>
      </c>
      <c r="D23" t="str">
        <f>VLOOKUP(Table1[[#This Row],[Dept Code]],Lookup_Departments!$A$1:$B$7,2,0)</f>
        <v>Marketing</v>
      </c>
      <c r="E23" s="5">
        <v>44353</v>
      </c>
      <c r="F23" s="6">
        <f t="shared" ca="1" si="0"/>
        <v>5</v>
      </c>
      <c r="G23" s="7">
        <v>107871</v>
      </c>
      <c r="H23" s="6">
        <v>88</v>
      </c>
      <c r="I23" t="str">
        <f>VLOOKUP(H23,Lookup_Performance!$A$2:$D$6,3,TRUE)</f>
        <v>Exceeding</v>
      </c>
      <c r="J23" s="9">
        <f>IFERROR(G23*VLOOKUP(H23,Lookup_Performance!$A$2:$D$6,4,TRUE),0)</f>
        <v>8629.68</v>
      </c>
      <c r="K23" t="s">
        <v>289</v>
      </c>
    </row>
    <row r="24" spans="1:11" x14ac:dyDescent="0.25">
      <c r="A24" t="s">
        <v>38</v>
      </c>
      <c r="B24" s="2" t="s">
        <v>205</v>
      </c>
      <c r="C24" t="s">
        <v>8</v>
      </c>
      <c r="D24" t="str">
        <f>VLOOKUP(Table1[[#This Row],[Dept Code]],Lookup_Departments!$A$1:$B$7,2,0)</f>
        <v>Information Technology</v>
      </c>
      <c r="E24" s="5">
        <v>44815</v>
      </c>
      <c r="F24" s="6">
        <f t="shared" ca="1" si="0"/>
        <v>3</v>
      </c>
      <c r="G24" s="7">
        <v>93956</v>
      </c>
      <c r="H24" s="6">
        <v>50</v>
      </c>
      <c r="I24" t="str">
        <f>VLOOKUP(H24,Lookup_Performance!$A$2:$D$6,3,TRUE)</f>
        <v>Developing</v>
      </c>
      <c r="J24" s="9">
        <f>IFERROR(G24*VLOOKUP(H24,Lookup_Performance!$A$2:$D$6,4,TRUE),0)</f>
        <v>1879.1200000000001</v>
      </c>
      <c r="K24" t="s">
        <v>290</v>
      </c>
    </row>
    <row r="25" spans="1:11" x14ac:dyDescent="0.25">
      <c r="A25" t="s">
        <v>39</v>
      </c>
      <c r="B25" s="2" t="s">
        <v>206</v>
      </c>
      <c r="C25" t="s">
        <v>13</v>
      </c>
      <c r="D25" t="str">
        <f>VLOOKUP(Table1[[#This Row],[Dept Code]],Lookup_Departments!$A$1:$B$7,2,0)</f>
        <v>Finance</v>
      </c>
      <c r="E25" s="5">
        <v>42565</v>
      </c>
      <c r="F25" s="6">
        <f t="shared" ca="1" si="0"/>
        <v>9</v>
      </c>
      <c r="G25" s="7">
        <v>100851</v>
      </c>
      <c r="H25" s="6">
        <v>64</v>
      </c>
      <c r="I25" t="str">
        <f>VLOOKUP(H25,Lookup_Performance!$A$2:$D$6,3,TRUE)</f>
        <v>Developing</v>
      </c>
      <c r="J25" s="9">
        <f>IFERROR(G25*VLOOKUP(H25,Lookup_Performance!$A$2:$D$6,4,TRUE),0)</f>
        <v>2017.02</v>
      </c>
      <c r="K25" t="s">
        <v>289</v>
      </c>
    </row>
    <row r="26" spans="1:11" x14ac:dyDescent="0.25">
      <c r="A26" t="s">
        <v>40</v>
      </c>
      <c r="B26" s="2" t="s">
        <v>207</v>
      </c>
      <c r="C26" t="s">
        <v>23</v>
      </c>
      <c r="D26" t="str">
        <f>VLOOKUP(Table1[[#This Row],[Dept Code]],Lookup_Departments!$A$1:$B$7,2,0)</f>
        <v>Sales</v>
      </c>
      <c r="E26" s="5">
        <v>44728</v>
      </c>
      <c r="F26" s="6">
        <f t="shared" ca="1" si="0"/>
        <v>4</v>
      </c>
      <c r="G26" s="7">
        <v>68655</v>
      </c>
      <c r="H26" s="6">
        <v>32</v>
      </c>
      <c r="I26" t="str">
        <f>VLOOKUP(H26,Lookup_Performance!$A$2:$D$6,3,TRUE)</f>
        <v>Needs Improvement</v>
      </c>
      <c r="J26" s="9">
        <f>IFERROR(G26*VLOOKUP(H26,Lookup_Performance!$A$2:$D$6,4,TRUE),0)</f>
        <v>0</v>
      </c>
      <c r="K26" t="s">
        <v>289</v>
      </c>
    </row>
    <row r="27" spans="1:11" x14ac:dyDescent="0.25">
      <c r="A27" t="s">
        <v>41</v>
      </c>
      <c r="B27" s="2" t="s">
        <v>27</v>
      </c>
      <c r="C27" t="s">
        <v>23</v>
      </c>
      <c r="D27" t="str">
        <f>VLOOKUP(Table1[[#This Row],[Dept Code]],Lookup_Departments!$A$1:$B$7,2,0)</f>
        <v>Sales</v>
      </c>
      <c r="E27" s="5">
        <v>45134</v>
      </c>
      <c r="F27" s="6">
        <f t="shared" ca="1" si="0"/>
        <v>2</v>
      </c>
      <c r="G27" s="7">
        <v>81205</v>
      </c>
      <c r="H27" s="6">
        <v>59</v>
      </c>
      <c r="I27" t="str">
        <f>VLOOKUP(H27,Lookup_Performance!$A$2:$D$6,3,TRUE)</f>
        <v>Developing</v>
      </c>
      <c r="J27" s="9">
        <f>IFERROR(G27*VLOOKUP(H27,Lookup_Performance!$A$2:$D$6,4,TRUE),0)</f>
        <v>1624.1000000000001</v>
      </c>
      <c r="K27" t="s">
        <v>289</v>
      </c>
    </row>
    <row r="28" spans="1:11" x14ac:dyDescent="0.25">
      <c r="A28" t="s">
        <v>42</v>
      </c>
      <c r="B28" s="2" t="s">
        <v>191</v>
      </c>
      <c r="C28" t="s">
        <v>23</v>
      </c>
      <c r="D28" t="str">
        <f>VLOOKUP(Table1[[#This Row],[Dept Code]],Lookup_Departments!$A$1:$B$7,2,0)</f>
        <v>Sales</v>
      </c>
      <c r="E28" s="5">
        <v>43732</v>
      </c>
      <c r="F28" s="6">
        <f t="shared" ca="1" si="0"/>
        <v>6</v>
      </c>
      <c r="G28" s="7">
        <v>77610</v>
      </c>
      <c r="H28" s="6">
        <v>88</v>
      </c>
      <c r="I28" t="str">
        <f>VLOOKUP(H28,Lookup_Performance!$A$2:$D$6,3,TRUE)</f>
        <v>Exceeding</v>
      </c>
      <c r="J28" s="9">
        <f>IFERROR(G28*VLOOKUP(H28,Lookup_Performance!$A$2:$D$6,4,TRUE),0)</f>
        <v>6208.8</v>
      </c>
      <c r="K28" t="s">
        <v>289</v>
      </c>
    </row>
    <row r="29" spans="1:11" x14ac:dyDescent="0.25">
      <c r="A29" t="s">
        <v>43</v>
      </c>
      <c r="B29" s="2" t="s">
        <v>199</v>
      </c>
      <c r="C29" t="s">
        <v>8</v>
      </c>
      <c r="D29" t="str">
        <f>VLOOKUP(Table1[[#This Row],[Dept Code]],Lookup_Departments!$A$1:$B$7,2,0)</f>
        <v>Information Technology</v>
      </c>
      <c r="E29" s="5">
        <v>44765</v>
      </c>
      <c r="F29" s="6">
        <f t="shared" ca="1" si="0"/>
        <v>3</v>
      </c>
      <c r="G29" s="7">
        <v>50873</v>
      </c>
      <c r="H29" s="6">
        <v>90</v>
      </c>
      <c r="I29" t="str">
        <f>VLOOKUP(H29,Lookup_Performance!$A$2:$D$6,3,TRUE)</f>
        <v>Exceeding</v>
      </c>
      <c r="J29" s="9">
        <f>IFERROR(G29*VLOOKUP(H29,Lookup_Performance!$A$2:$D$6,4,TRUE),0)</f>
        <v>4069.84</v>
      </c>
      <c r="K29" t="s">
        <v>289</v>
      </c>
    </row>
    <row r="30" spans="1:11" x14ac:dyDescent="0.25">
      <c r="A30" t="s">
        <v>44</v>
      </c>
      <c r="B30" s="2" t="s">
        <v>208</v>
      </c>
      <c r="C30" t="s">
        <v>13</v>
      </c>
      <c r="D30" t="str">
        <f>VLOOKUP(Table1[[#This Row],[Dept Code]],Lookup_Departments!$A$1:$B$7,2,0)</f>
        <v>Finance</v>
      </c>
      <c r="E30" s="5">
        <v>43233</v>
      </c>
      <c r="F30" s="6">
        <f t="shared" ca="1" si="0"/>
        <v>8</v>
      </c>
      <c r="G30" s="7">
        <v>85312</v>
      </c>
      <c r="H30" s="6">
        <v>66</v>
      </c>
      <c r="I30" t="str">
        <f>VLOOKUP(H30,Lookup_Performance!$A$2:$D$6,3,TRUE)</f>
        <v>Developing</v>
      </c>
      <c r="J30" s="9">
        <f>IFERROR(G30*VLOOKUP(H30,Lookup_Performance!$A$2:$D$6,4,TRUE),0)</f>
        <v>1706.24</v>
      </c>
      <c r="K30" t="s">
        <v>289</v>
      </c>
    </row>
    <row r="31" spans="1:11" x14ac:dyDescent="0.25">
      <c r="A31" t="s">
        <v>45</v>
      </c>
      <c r="B31" s="2" t="s">
        <v>209</v>
      </c>
      <c r="C31" t="s">
        <v>23</v>
      </c>
      <c r="D31" t="str">
        <f>VLOOKUP(Table1[[#This Row],[Dept Code]],Lookup_Departments!$A$1:$B$7,2,0)</f>
        <v>Sales</v>
      </c>
      <c r="E31" s="5">
        <v>42202</v>
      </c>
      <c r="F31" s="6">
        <f t="shared" ca="1" si="0"/>
        <v>10</v>
      </c>
      <c r="G31" s="7">
        <v>79271</v>
      </c>
      <c r="H31" s="6">
        <v>68</v>
      </c>
      <c r="I31" t="str">
        <f>VLOOKUP(H31,Lookup_Performance!$A$2:$D$6,3,TRUE)</f>
        <v>Developing</v>
      </c>
      <c r="J31" s="9">
        <f>IFERROR(G31*VLOOKUP(H31,Lookup_Performance!$A$2:$D$6,4,TRUE),0)</f>
        <v>1585.42</v>
      </c>
      <c r="K31" t="s">
        <v>289</v>
      </c>
    </row>
    <row r="32" spans="1:11" x14ac:dyDescent="0.25">
      <c r="A32" t="s">
        <v>46</v>
      </c>
      <c r="B32" s="2" t="s">
        <v>210</v>
      </c>
      <c r="C32" t="s">
        <v>17</v>
      </c>
      <c r="D32" t="str">
        <f>VLOOKUP(Table1[[#This Row],[Dept Code]],Lookup_Departments!$A$1:$B$7,2,0)</f>
        <v>Operations</v>
      </c>
      <c r="E32" s="5">
        <v>42221</v>
      </c>
      <c r="F32" s="6">
        <f t="shared" ca="1" si="0"/>
        <v>10</v>
      </c>
      <c r="G32" s="7">
        <v>97055</v>
      </c>
      <c r="H32" s="6">
        <v>80</v>
      </c>
      <c r="I32" t="str">
        <f>VLOOKUP(H32,Lookup_Performance!$A$2:$D$6,3,TRUE)</f>
        <v>Achieving</v>
      </c>
      <c r="J32" s="9">
        <f>IFERROR(G32*VLOOKUP(H32,Lookup_Performance!$A$2:$D$6,4,TRUE),0)</f>
        <v>4852.75</v>
      </c>
      <c r="K32" t="s">
        <v>289</v>
      </c>
    </row>
    <row r="33" spans="1:11" x14ac:dyDescent="0.25">
      <c r="A33" t="s">
        <v>47</v>
      </c>
      <c r="B33" s="2" t="s">
        <v>211</v>
      </c>
      <c r="C33" t="s">
        <v>8</v>
      </c>
      <c r="D33" t="str">
        <f>VLOOKUP(Table1[[#This Row],[Dept Code]],Lookup_Departments!$A$1:$B$7,2,0)</f>
        <v>Information Technology</v>
      </c>
      <c r="E33" s="5">
        <v>45195</v>
      </c>
      <c r="F33" s="6">
        <f t="shared" ca="1" si="0"/>
        <v>2</v>
      </c>
      <c r="G33" s="7">
        <v>66069</v>
      </c>
      <c r="H33" s="6">
        <v>72</v>
      </c>
      <c r="I33" t="str">
        <f>VLOOKUP(H33,Lookup_Performance!$A$2:$D$6,3,TRUE)</f>
        <v>Achieving</v>
      </c>
      <c r="J33" s="9">
        <f>IFERROR(G33*VLOOKUP(H33,Lookup_Performance!$A$2:$D$6,4,TRUE),0)</f>
        <v>3303.4500000000003</v>
      </c>
      <c r="K33" t="s">
        <v>289</v>
      </c>
    </row>
    <row r="34" spans="1:11" x14ac:dyDescent="0.25">
      <c r="A34" t="s">
        <v>48</v>
      </c>
      <c r="B34" s="2" t="s">
        <v>212</v>
      </c>
      <c r="C34" t="s">
        <v>8</v>
      </c>
      <c r="D34" t="str">
        <f>VLOOKUP(Table1[[#This Row],[Dept Code]],Lookup_Departments!$A$1:$B$7,2,0)</f>
        <v>Information Technology</v>
      </c>
      <c r="E34" s="5">
        <v>43626</v>
      </c>
      <c r="F34" s="6">
        <f t="shared" ref="F34:F65" ca="1" si="1">DATEDIF(E34,TODAY(),"Y")</f>
        <v>7</v>
      </c>
      <c r="G34" s="7">
        <v>90157</v>
      </c>
      <c r="H34" s="6">
        <v>58</v>
      </c>
      <c r="I34" t="str">
        <f>VLOOKUP(H34,Lookup_Performance!$A$2:$D$6,3,TRUE)</f>
        <v>Developing</v>
      </c>
      <c r="J34" s="9">
        <f>IFERROR(G34*VLOOKUP(H34,Lookup_Performance!$A$2:$D$6,4,TRUE),0)</f>
        <v>1803.14</v>
      </c>
      <c r="K34" t="s">
        <v>289</v>
      </c>
    </row>
    <row r="35" spans="1:11" x14ac:dyDescent="0.25">
      <c r="A35" t="s">
        <v>49</v>
      </c>
      <c r="B35" s="2" t="s">
        <v>213</v>
      </c>
      <c r="C35" t="s">
        <v>50</v>
      </c>
      <c r="D35" t="str">
        <f>VLOOKUP(Table1[[#This Row],[Dept Code]],Lookup_Departments!$A$1:$B$7,2,0)</f>
        <v>Human Resources</v>
      </c>
      <c r="E35" s="5">
        <v>44578</v>
      </c>
      <c r="F35" s="6">
        <f t="shared" ca="1" si="1"/>
        <v>4</v>
      </c>
      <c r="G35" s="7">
        <v>59899</v>
      </c>
      <c r="H35" s="6">
        <v>78</v>
      </c>
      <c r="I35" t="str">
        <f>VLOOKUP(H35,Lookup_Performance!$A$2:$D$6,3,TRUE)</f>
        <v>Achieving</v>
      </c>
      <c r="J35" s="9">
        <f>IFERROR(G35*VLOOKUP(H35,Lookup_Performance!$A$2:$D$6,4,TRUE),0)</f>
        <v>2994.9500000000003</v>
      </c>
      <c r="K35" t="s">
        <v>289</v>
      </c>
    </row>
    <row r="36" spans="1:11" x14ac:dyDescent="0.25">
      <c r="A36" t="s">
        <v>51</v>
      </c>
      <c r="B36" s="2" t="s">
        <v>214</v>
      </c>
      <c r="C36" t="s">
        <v>13</v>
      </c>
      <c r="D36" t="str">
        <f>VLOOKUP(Table1[[#This Row],[Dept Code]],Lookup_Departments!$A$1:$B$7,2,0)</f>
        <v>Finance</v>
      </c>
      <c r="E36" s="5">
        <v>42919</v>
      </c>
      <c r="F36" s="6">
        <f t="shared" ca="1" si="1"/>
        <v>9</v>
      </c>
      <c r="G36" s="7">
        <v>113389</v>
      </c>
      <c r="H36" s="6">
        <v>30</v>
      </c>
      <c r="I36" t="str">
        <f>VLOOKUP(H36,Lookup_Performance!$A$2:$D$6,3,TRUE)</f>
        <v>Needs Improvement</v>
      </c>
      <c r="J36" s="9">
        <f>IFERROR(G36*VLOOKUP(H36,Lookup_Performance!$A$2:$D$6,4,TRUE),0)</f>
        <v>0</v>
      </c>
      <c r="K36" t="s">
        <v>289</v>
      </c>
    </row>
    <row r="37" spans="1:11" x14ac:dyDescent="0.25">
      <c r="A37" t="s">
        <v>52</v>
      </c>
      <c r="B37" s="2" t="s">
        <v>7</v>
      </c>
      <c r="C37" t="s">
        <v>8</v>
      </c>
      <c r="D37" t="str">
        <f>VLOOKUP(Table1[[#This Row],[Dept Code]],Lookup_Departments!$A$1:$B$7,2,0)</f>
        <v>Information Technology</v>
      </c>
      <c r="E37" s="5">
        <v>42248</v>
      </c>
      <c r="F37" s="6">
        <f t="shared" ca="1" si="1"/>
        <v>10</v>
      </c>
      <c r="G37" s="7">
        <v>102691</v>
      </c>
      <c r="H37" s="6">
        <v>52</v>
      </c>
      <c r="I37" t="str">
        <f>VLOOKUP(H37,Lookup_Performance!$A$2:$D$6,3,TRUE)</f>
        <v>Developing</v>
      </c>
      <c r="J37" s="9">
        <f>IFERROR(G37*VLOOKUP(H37,Lookup_Performance!$A$2:$D$6,4,TRUE),0)</f>
        <v>2053.8200000000002</v>
      </c>
      <c r="K37" t="s">
        <v>289</v>
      </c>
    </row>
    <row r="38" spans="1:11" x14ac:dyDescent="0.25">
      <c r="A38" t="s">
        <v>53</v>
      </c>
      <c r="B38" s="2" t="s">
        <v>191</v>
      </c>
      <c r="C38" t="s">
        <v>17</v>
      </c>
      <c r="D38" t="str">
        <f>VLOOKUP(Table1[[#This Row],[Dept Code]],Lookup_Departments!$A$1:$B$7,2,0)</f>
        <v>Operations</v>
      </c>
      <c r="E38" s="5">
        <v>44776</v>
      </c>
      <c r="F38" s="6">
        <f t="shared" ca="1" si="1"/>
        <v>3</v>
      </c>
      <c r="G38" s="7">
        <v>111845</v>
      </c>
      <c r="H38" s="6">
        <v>98</v>
      </c>
      <c r="I38" t="str">
        <f>VLOOKUP(H38,Lookup_Performance!$A$2:$D$6,3,TRUE)</f>
        <v>Outstanding</v>
      </c>
      <c r="J38" s="9">
        <f>IFERROR(G38*VLOOKUP(H38,Lookup_Performance!$A$2:$D$6,4,TRUE),0)</f>
        <v>13421.4</v>
      </c>
      <c r="K38" t="s">
        <v>289</v>
      </c>
    </row>
    <row r="39" spans="1:11" x14ac:dyDescent="0.25">
      <c r="A39" t="s">
        <v>54</v>
      </c>
      <c r="B39" s="2" t="s">
        <v>215</v>
      </c>
      <c r="C39" t="s">
        <v>23</v>
      </c>
      <c r="D39" t="str">
        <f>VLOOKUP(Table1[[#This Row],[Dept Code]],Lookup_Departments!$A$1:$B$7,2,0)</f>
        <v>Sales</v>
      </c>
      <c r="E39" s="5">
        <v>44741</v>
      </c>
      <c r="F39" s="6">
        <f t="shared" ca="1" si="1"/>
        <v>4</v>
      </c>
      <c r="G39" s="7">
        <v>69219</v>
      </c>
      <c r="H39" s="6">
        <v>93</v>
      </c>
      <c r="I39" t="str">
        <f>VLOOKUP(H39,Lookup_Performance!$A$2:$D$6,3,TRUE)</f>
        <v>Exceeding</v>
      </c>
      <c r="J39" s="9">
        <f>IFERROR(G39*VLOOKUP(H39,Lookup_Performance!$A$2:$D$6,4,TRUE),0)</f>
        <v>5537.52</v>
      </c>
      <c r="K39" t="s">
        <v>289</v>
      </c>
    </row>
    <row r="40" spans="1:11" x14ac:dyDescent="0.25">
      <c r="A40" t="s">
        <v>55</v>
      </c>
      <c r="B40" s="2" t="s">
        <v>216</v>
      </c>
      <c r="C40" t="s">
        <v>13</v>
      </c>
      <c r="D40" t="str">
        <f>VLOOKUP(Table1[[#This Row],[Dept Code]],Lookup_Departments!$A$1:$B$7,2,0)</f>
        <v>Finance</v>
      </c>
      <c r="E40" s="5">
        <v>43949</v>
      </c>
      <c r="F40" s="6">
        <f t="shared" ca="1" si="1"/>
        <v>6</v>
      </c>
      <c r="G40" s="7">
        <v>79271</v>
      </c>
      <c r="H40" s="6">
        <v>80</v>
      </c>
      <c r="I40" t="str">
        <f>VLOOKUP(H40,Lookup_Performance!$A$2:$D$6,3,TRUE)</f>
        <v>Achieving</v>
      </c>
      <c r="J40" s="9">
        <f>IFERROR(G40*VLOOKUP(H40,Lookup_Performance!$A$2:$D$6,4,TRUE),0)</f>
        <v>3963.55</v>
      </c>
      <c r="K40" t="s">
        <v>290</v>
      </c>
    </row>
    <row r="41" spans="1:11" x14ac:dyDescent="0.25">
      <c r="A41" t="s">
        <v>56</v>
      </c>
      <c r="B41" s="2" t="s">
        <v>217</v>
      </c>
      <c r="C41" t="s">
        <v>17</v>
      </c>
      <c r="D41" t="str">
        <f>VLOOKUP(Table1[[#This Row],[Dept Code]],Lookup_Departments!$A$1:$B$7,2,0)</f>
        <v>Operations</v>
      </c>
      <c r="E41" s="5">
        <v>42987</v>
      </c>
      <c r="F41" s="6">
        <f t="shared" ca="1" si="1"/>
        <v>8</v>
      </c>
      <c r="G41" s="7">
        <v>57514</v>
      </c>
      <c r="H41" s="6">
        <v>70</v>
      </c>
      <c r="I41" t="str">
        <f>VLOOKUP(H41,Lookup_Performance!$A$2:$D$6,3,TRUE)</f>
        <v>Achieving</v>
      </c>
      <c r="J41" s="9">
        <f>IFERROR(G41*VLOOKUP(H41,Lookup_Performance!$A$2:$D$6,4,TRUE),0)</f>
        <v>2875.7000000000003</v>
      </c>
      <c r="K41" t="s">
        <v>289</v>
      </c>
    </row>
    <row r="42" spans="1:11" x14ac:dyDescent="0.25">
      <c r="A42" t="s">
        <v>57</v>
      </c>
      <c r="B42" s="2" t="s">
        <v>218</v>
      </c>
      <c r="C42" t="s">
        <v>23</v>
      </c>
      <c r="D42" t="str">
        <f>VLOOKUP(Table1[[#This Row],[Dept Code]],Lookup_Departments!$A$1:$B$7,2,0)</f>
        <v>Sales</v>
      </c>
      <c r="E42" s="5">
        <v>43181</v>
      </c>
      <c r="F42" s="6">
        <f t="shared" ca="1" si="1"/>
        <v>8</v>
      </c>
      <c r="G42" s="7">
        <v>86245</v>
      </c>
      <c r="H42" s="6">
        <v>71</v>
      </c>
      <c r="I42" t="str">
        <f>VLOOKUP(H42,Lookup_Performance!$A$2:$D$6,3,TRUE)</f>
        <v>Achieving</v>
      </c>
      <c r="J42" s="9">
        <f>IFERROR(G42*VLOOKUP(H42,Lookup_Performance!$A$2:$D$6,4,TRUE),0)</f>
        <v>4312.25</v>
      </c>
      <c r="K42" t="s">
        <v>290</v>
      </c>
    </row>
    <row r="43" spans="1:11" x14ac:dyDescent="0.25">
      <c r="A43" t="s">
        <v>58</v>
      </c>
      <c r="B43" s="2" t="s">
        <v>219</v>
      </c>
      <c r="C43" t="s">
        <v>23</v>
      </c>
      <c r="D43" t="str">
        <f>VLOOKUP(Table1[[#This Row],[Dept Code]],Lookup_Departments!$A$1:$B$7,2,0)</f>
        <v>Sales</v>
      </c>
      <c r="E43" s="5">
        <v>43958</v>
      </c>
      <c r="F43" s="6">
        <f t="shared" ca="1" si="1"/>
        <v>6</v>
      </c>
      <c r="G43" s="7">
        <v>52407</v>
      </c>
      <c r="H43" s="6">
        <v>55</v>
      </c>
      <c r="I43" t="str">
        <f>VLOOKUP(H43,Lookup_Performance!$A$2:$D$6,3,TRUE)</f>
        <v>Developing</v>
      </c>
      <c r="J43" s="9">
        <f>IFERROR(G43*VLOOKUP(H43,Lookup_Performance!$A$2:$D$6,4,TRUE),0)</f>
        <v>1048.1400000000001</v>
      </c>
      <c r="K43" t="s">
        <v>289</v>
      </c>
    </row>
    <row r="44" spans="1:11" x14ac:dyDescent="0.25">
      <c r="A44" t="s">
        <v>59</v>
      </c>
      <c r="B44" s="2" t="s">
        <v>220</v>
      </c>
      <c r="C44" t="s">
        <v>17</v>
      </c>
      <c r="D44" t="str">
        <f>VLOOKUP(Table1[[#This Row],[Dept Code]],Lookup_Departments!$A$1:$B$7,2,0)</f>
        <v>Operations</v>
      </c>
      <c r="E44" s="5">
        <v>43549</v>
      </c>
      <c r="F44" s="6">
        <f t="shared" ca="1" si="1"/>
        <v>7</v>
      </c>
      <c r="G44" s="7">
        <v>66606</v>
      </c>
      <c r="H44" s="6">
        <v>93</v>
      </c>
      <c r="I44" t="str">
        <f>VLOOKUP(H44,Lookup_Performance!$A$2:$D$6,3,TRUE)</f>
        <v>Exceeding</v>
      </c>
      <c r="J44" s="9">
        <f>IFERROR(G44*VLOOKUP(H44,Lookup_Performance!$A$2:$D$6,4,TRUE),0)</f>
        <v>5328.4800000000005</v>
      </c>
      <c r="K44" t="s">
        <v>291</v>
      </c>
    </row>
    <row r="45" spans="1:11" x14ac:dyDescent="0.25">
      <c r="A45" t="s">
        <v>60</v>
      </c>
      <c r="B45" s="2" t="s">
        <v>221</v>
      </c>
      <c r="C45" t="s">
        <v>8</v>
      </c>
      <c r="D45" t="str">
        <f>VLOOKUP(Table1[[#This Row],[Dept Code]],Lookup_Departments!$A$1:$B$7,2,0)</f>
        <v>Information Technology</v>
      </c>
      <c r="E45" s="5">
        <v>43686</v>
      </c>
      <c r="F45" s="6">
        <f t="shared" ca="1" si="1"/>
        <v>6</v>
      </c>
      <c r="G45" s="7">
        <v>81896</v>
      </c>
      <c r="H45" s="6">
        <v>79</v>
      </c>
      <c r="I45" t="str">
        <f>VLOOKUP(H45,Lookup_Performance!$A$2:$D$6,3,TRUE)</f>
        <v>Achieving</v>
      </c>
      <c r="J45" s="9">
        <f>IFERROR(G45*VLOOKUP(H45,Lookup_Performance!$A$2:$D$6,4,TRUE),0)</f>
        <v>4094.8</v>
      </c>
      <c r="K45" t="s">
        <v>291</v>
      </c>
    </row>
    <row r="46" spans="1:11" x14ac:dyDescent="0.25">
      <c r="A46" t="s">
        <v>61</v>
      </c>
      <c r="B46" s="2" t="s">
        <v>222</v>
      </c>
      <c r="C46" t="s">
        <v>23</v>
      </c>
      <c r="D46" t="str">
        <f>VLOOKUP(Table1[[#This Row],[Dept Code]],Lookup_Departments!$A$1:$B$7,2,0)</f>
        <v>Sales</v>
      </c>
      <c r="E46" s="5">
        <v>42565</v>
      </c>
      <c r="F46" s="6">
        <f t="shared" ca="1" si="1"/>
        <v>9</v>
      </c>
      <c r="G46" s="7">
        <v>78402</v>
      </c>
      <c r="H46" s="6">
        <v>54</v>
      </c>
      <c r="I46" t="str">
        <f>VLOOKUP(H46,Lookup_Performance!$A$2:$D$6,3,TRUE)</f>
        <v>Developing</v>
      </c>
      <c r="J46" s="9">
        <f>IFERROR(G46*VLOOKUP(H46,Lookup_Performance!$A$2:$D$6,4,TRUE),0)</f>
        <v>1568.04</v>
      </c>
      <c r="K46" t="s">
        <v>289</v>
      </c>
    </row>
    <row r="47" spans="1:11" x14ac:dyDescent="0.25">
      <c r="A47" t="s">
        <v>62</v>
      </c>
      <c r="B47" s="2" t="s">
        <v>223</v>
      </c>
      <c r="C47" t="s">
        <v>17</v>
      </c>
      <c r="D47" t="str">
        <f>VLOOKUP(Table1[[#This Row],[Dept Code]],Lookup_Departments!$A$1:$B$7,2,0)</f>
        <v>Operations</v>
      </c>
      <c r="E47" s="5">
        <v>42647</v>
      </c>
      <c r="F47" s="6">
        <f t="shared" ca="1" si="1"/>
        <v>9</v>
      </c>
      <c r="G47" s="7">
        <v>105498</v>
      </c>
      <c r="H47" s="6">
        <v>76</v>
      </c>
      <c r="I47" t="str">
        <f>VLOOKUP(H47,Lookup_Performance!$A$2:$D$6,3,TRUE)</f>
        <v>Achieving</v>
      </c>
      <c r="J47" s="9">
        <f>IFERROR(G47*VLOOKUP(H47,Lookup_Performance!$A$2:$D$6,4,TRUE),0)</f>
        <v>5274.9000000000005</v>
      </c>
      <c r="K47" t="s">
        <v>289</v>
      </c>
    </row>
    <row r="48" spans="1:11" x14ac:dyDescent="0.25">
      <c r="A48" t="s">
        <v>63</v>
      </c>
      <c r="B48" s="2" t="s">
        <v>224</v>
      </c>
      <c r="C48" t="s">
        <v>10</v>
      </c>
      <c r="D48" t="str">
        <f>VLOOKUP(Table1[[#This Row],[Dept Code]],Lookup_Departments!$A$1:$B$7,2,0)</f>
        <v>Marketing</v>
      </c>
      <c r="E48" s="5">
        <v>43656</v>
      </c>
      <c r="F48" s="6">
        <f t="shared" ca="1" si="1"/>
        <v>6</v>
      </c>
      <c r="G48" s="7">
        <v>91749</v>
      </c>
      <c r="H48" s="6">
        <v>72</v>
      </c>
      <c r="I48" t="str">
        <f>VLOOKUP(H48,Lookup_Performance!$A$2:$D$6,3,TRUE)</f>
        <v>Achieving</v>
      </c>
      <c r="J48" s="9">
        <f>IFERROR(G48*VLOOKUP(H48,Lookup_Performance!$A$2:$D$6,4,TRUE),0)</f>
        <v>4587.45</v>
      </c>
      <c r="K48" t="s">
        <v>290</v>
      </c>
    </row>
    <row r="49" spans="1:11" x14ac:dyDescent="0.25">
      <c r="A49" t="s">
        <v>64</v>
      </c>
      <c r="B49" s="2" t="s">
        <v>225</v>
      </c>
      <c r="C49" t="s">
        <v>17</v>
      </c>
      <c r="D49" t="str">
        <f>VLOOKUP(Table1[[#This Row],[Dept Code]],Lookup_Departments!$A$1:$B$7,2,0)</f>
        <v>Operations</v>
      </c>
      <c r="E49" s="5">
        <v>44437</v>
      </c>
      <c r="F49" s="6">
        <f t="shared" ca="1" si="1"/>
        <v>4</v>
      </c>
      <c r="G49" s="7">
        <v>99935</v>
      </c>
      <c r="H49" s="6">
        <v>84</v>
      </c>
      <c r="I49" t="str">
        <f>VLOOKUP(H49,Lookup_Performance!$A$2:$D$6,3,TRUE)</f>
        <v>Achieving</v>
      </c>
      <c r="J49" s="9">
        <f>IFERROR(G49*VLOOKUP(H49,Lookup_Performance!$A$2:$D$6,4,TRUE),0)</f>
        <v>4996.75</v>
      </c>
      <c r="K49" t="s">
        <v>291</v>
      </c>
    </row>
    <row r="50" spans="1:11" x14ac:dyDescent="0.25">
      <c r="A50" t="s">
        <v>65</v>
      </c>
      <c r="B50" s="2" t="s">
        <v>226</v>
      </c>
      <c r="C50" t="s">
        <v>8</v>
      </c>
      <c r="D50" t="str">
        <f>VLOOKUP(Table1[[#This Row],[Dept Code]],Lookup_Departments!$A$1:$B$7,2,0)</f>
        <v>Information Technology</v>
      </c>
      <c r="E50" s="5">
        <v>42761</v>
      </c>
      <c r="F50" s="6">
        <f t="shared" ca="1" si="1"/>
        <v>9</v>
      </c>
      <c r="G50" s="7">
        <v>83531</v>
      </c>
      <c r="H50" s="6">
        <v>30</v>
      </c>
      <c r="I50" t="str">
        <f>VLOOKUP(H50,Lookup_Performance!$A$2:$D$6,3,TRUE)</f>
        <v>Needs Improvement</v>
      </c>
      <c r="J50" s="9">
        <f>IFERROR(G50*VLOOKUP(H50,Lookup_Performance!$A$2:$D$6,4,TRUE),0)</f>
        <v>0</v>
      </c>
      <c r="K50" t="s">
        <v>290</v>
      </c>
    </row>
    <row r="51" spans="1:11" x14ac:dyDescent="0.25">
      <c r="A51" t="s">
        <v>66</v>
      </c>
      <c r="B51" s="2" t="s">
        <v>227</v>
      </c>
      <c r="C51" t="s">
        <v>10</v>
      </c>
      <c r="D51" t="str">
        <f>VLOOKUP(Table1[[#This Row],[Dept Code]],Lookup_Departments!$A$1:$B$7,2,0)</f>
        <v>Marketing</v>
      </c>
      <c r="E51" s="5">
        <v>43981</v>
      </c>
      <c r="F51" s="6">
        <f t="shared" ca="1" si="1"/>
        <v>6</v>
      </c>
      <c r="G51" s="7">
        <v>75023</v>
      </c>
      <c r="H51" s="6">
        <v>70</v>
      </c>
      <c r="I51" t="str">
        <f>VLOOKUP(H51,Lookup_Performance!$A$2:$D$6,3,TRUE)</f>
        <v>Achieving</v>
      </c>
      <c r="J51" s="9">
        <f>IFERROR(G51*VLOOKUP(H51,Lookup_Performance!$A$2:$D$6,4,TRUE),0)</f>
        <v>3751.15</v>
      </c>
      <c r="K51" t="s">
        <v>289</v>
      </c>
    </row>
    <row r="52" spans="1:11" x14ac:dyDescent="0.25">
      <c r="A52" t="s">
        <v>67</v>
      </c>
      <c r="B52" s="2" t="s">
        <v>228</v>
      </c>
      <c r="C52" t="s">
        <v>50</v>
      </c>
      <c r="D52" t="str">
        <f>VLOOKUP(Table1[[#This Row],[Dept Code]],Lookup_Departments!$A$1:$B$7,2,0)</f>
        <v>Human Resources</v>
      </c>
      <c r="E52" s="5">
        <v>44612</v>
      </c>
      <c r="F52" s="6">
        <f t="shared" ca="1" si="1"/>
        <v>4</v>
      </c>
      <c r="G52" s="7">
        <v>93290</v>
      </c>
      <c r="H52" s="6">
        <v>53</v>
      </c>
      <c r="I52" t="str">
        <f>VLOOKUP(H52,Lookup_Performance!$A$2:$D$6,3,TRUE)</f>
        <v>Developing</v>
      </c>
      <c r="J52" s="9">
        <f>IFERROR(G52*VLOOKUP(H52,Lookup_Performance!$A$2:$D$6,4,TRUE),0)</f>
        <v>1865.8</v>
      </c>
      <c r="K52" t="s">
        <v>289</v>
      </c>
    </row>
    <row r="53" spans="1:11" x14ac:dyDescent="0.25">
      <c r="A53" t="s">
        <v>68</v>
      </c>
      <c r="B53" s="2" t="s">
        <v>229</v>
      </c>
      <c r="C53" t="s">
        <v>17</v>
      </c>
      <c r="D53" t="str">
        <f>VLOOKUP(Table1[[#This Row],[Dept Code]],Lookup_Departments!$A$1:$B$7,2,0)</f>
        <v>Operations</v>
      </c>
      <c r="E53" s="5">
        <v>42628</v>
      </c>
      <c r="F53" s="6">
        <f t="shared" ca="1" si="1"/>
        <v>9</v>
      </c>
      <c r="G53" s="7">
        <v>115527</v>
      </c>
      <c r="H53" s="6">
        <v>63</v>
      </c>
      <c r="I53" t="str">
        <f>VLOOKUP(H53,Lookup_Performance!$A$2:$D$6,3,TRUE)</f>
        <v>Developing</v>
      </c>
      <c r="J53" s="9">
        <f>IFERROR(G53*VLOOKUP(H53,Lookup_Performance!$A$2:$D$6,4,TRUE),0)</f>
        <v>2310.54</v>
      </c>
      <c r="K53" t="s">
        <v>291</v>
      </c>
    </row>
    <row r="54" spans="1:11" x14ac:dyDescent="0.25">
      <c r="A54" t="s">
        <v>69</v>
      </c>
      <c r="B54" s="2" t="s">
        <v>199</v>
      </c>
      <c r="C54" t="s">
        <v>13</v>
      </c>
      <c r="D54" t="str">
        <f>VLOOKUP(Table1[[#This Row],[Dept Code]],Lookup_Departments!$A$1:$B$7,2,0)</f>
        <v>Finance</v>
      </c>
      <c r="E54" s="5">
        <v>43745</v>
      </c>
      <c r="F54" s="6">
        <f t="shared" ca="1" si="1"/>
        <v>6</v>
      </c>
      <c r="G54" s="7">
        <v>55920</v>
      </c>
      <c r="H54" s="6">
        <v>84</v>
      </c>
      <c r="I54" t="str">
        <f>VLOOKUP(H54,Lookup_Performance!$A$2:$D$6,3,TRUE)</f>
        <v>Achieving</v>
      </c>
      <c r="J54" s="9">
        <f>IFERROR(G54*VLOOKUP(H54,Lookup_Performance!$A$2:$D$6,4,TRUE),0)</f>
        <v>2796</v>
      </c>
      <c r="K54" t="s">
        <v>289</v>
      </c>
    </row>
    <row r="55" spans="1:11" x14ac:dyDescent="0.25">
      <c r="A55" t="s">
        <v>70</v>
      </c>
      <c r="B55" s="2" t="s">
        <v>190</v>
      </c>
      <c r="C55" t="s">
        <v>23</v>
      </c>
      <c r="D55" t="str">
        <f>VLOOKUP(Table1[[#This Row],[Dept Code]],Lookup_Departments!$A$1:$B$7,2,0)</f>
        <v>Sales</v>
      </c>
      <c r="E55" s="5">
        <v>43464</v>
      </c>
      <c r="F55" s="6">
        <f t="shared" ca="1" si="1"/>
        <v>7</v>
      </c>
      <c r="G55" s="7">
        <v>80189</v>
      </c>
      <c r="H55" s="6">
        <v>30</v>
      </c>
      <c r="I55" t="str">
        <f>VLOOKUP(H55,Lookup_Performance!$A$2:$D$6,3,TRUE)</f>
        <v>Needs Improvement</v>
      </c>
      <c r="J55" s="9">
        <f>IFERROR(G55*VLOOKUP(H55,Lookup_Performance!$A$2:$D$6,4,TRUE),0)</f>
        <v>0</v>
      </c>
      <c r="K55" t="s">
        <v>289</v>
      </c>
    </row>
    <row r="56" spans="1:11" x14ac:dyDescent="0.25">
      <c r="A56" t="s">
        <v>71</v>
      </c>
      <c r="B56" s="2" t="s">
        <v>230</v>
      </c>
      <c r="C56" t="s">
        <v>50</v>
      </c>
      <c r="D56" t="str">
        <f>VLOOKUP(Table1[[#This Row],[Dept Code]],Lookup_Departments!$A$1:$B$7,2,0)</f>
        <v>Human Resources</v>
      </c>
      <c r="E56" s="5">
        <v>44189</v>
      </c>
      <c r="F56" s="6">
        <f t="shared" ca="1" si="1"/>
        <v>5</v>
      </c>
      <c r="G56" s="7">
        <v>118947</v>
      </c>
      <c r="H56" s="6">
        <v>96</v>
      </c>
      <c r="I56" t="str">
        <f>VLOOKUP(H56,Lookup_Performance!$A$2:$D$6,3,TRUE)</f>
        <v>Outstanding</v>
      </c>
      <c r="J56" s="9">
        <f>IFERROR(G56*VLOOKUP(H56,Lookup_Performance!$A$2:$D$6,4,TRUE),0)</f>
        <v>14273.64</v>
      </c>
      <c r="K56" t="s">
        <v>289</v>
      </c>
    </row>
    <row r="57" spans="1:11" x14ac:dyDescent="0.25">
      <c r="A57" t="s">
        <v>72</v>
      </c>
      <c r="B57" s="2" t="s">
        <v>231</v>
      </c>
      <c r="C57" t="s">
        <v>8</v>
      </c>
      <c r="D57" t="str">
        <f>VLOOKUP(Table1[[#This Row],[Dept Code]],Lookup_Departments!$A$1:$B$7,2,0)</f>
        <v>Information Technology</v>
      </c>
      <c r="E57" s="5">
        <v>45112</v>
      </c>
      <c r="F57" s="6">
        <f t="shared" ca="1" si="1"/>
        <v>3</v>
      </c>
      <c r="G57" s="7">
        <v>79271</v>
      </c>
      <c r="H57" s="6">
        <v>54</v>
      </c>
      <c r="I57" t="str">
        <f>VLOOKUP(H57,Lookup_Performance!$A$2:$D$6,3,TRUE)</f>
        <v>Developing</v>
      </c>
      <c r="J57" s="9">
        <f>IFERROR(G57*VLOOKUP(H57,Lookup_Performance!$A$2:$D$6,4,TRUE),0)</f>
        <v>1585.42</v>
      </c>
      <c r="K57" t="s">
        <v>289</v>
      </c>
    </row>
    <row r="58" spans="1:11" x14ac:dyDescent="0.25">
      <c r="A58" t="s">
        <v>73</v>
      </c>
      <c r="B58" s="2" t="s">
        <v>232</v>
      </c>
      <c r="C58" t="s">
        <v>17</v>
      </c>
      <c r="D58" t="str">
        <f>VLOOKUP(Table1[[#This Row],[Dept Code]],Lookup_Departments!$A$1:$B$7,2,0)</f>
        <v>Operations</v>
      </c>
      <c r="E58" s="5">
        <v>44148</v>
      </c>
      <c r="F58" s="6">
        <f t="shared" ca="1" si="1"/>
        <v>5</v>
      </c>
      <c r="G58" s="7">
        <v>79271</v>
      </c>
      <c r="H58" s="6">
        <v>75</v>
      </c>
      <c r="I58" t="str">
        <f>VLOOKUP(H58,Lookup_Performance!$A$2:$D$6,3,TRUE)</f>
        <v>Achieving</v>
      </c>
      <c r="J58" s="9">
        <f>IFERROR(G58*VLOOKUP(H58,Lookup_Performance!$A$2:$D$6,4,TRUE),0)</f>
        <v>3963.55</v>
      </c>
      <c r="K58" t="s">
        <v>289</v>
      </c>
    </row>
    <row r="59" spans="1:11" x14ac:dyDescent="0.25">
      <c r="A59" t="s">
        <v>74</v>
      </c>
      <c r="B59" s="2" t="s">
        <v>233</v>
      </c>
      <c r="C59" t="s">
        <v>50</v>
      </c>
      <c r="D59" t="str">
        <f>VLOOKUP(Table1[[#This Row],[Dept Code]],Lookup_Departments!$A$1:$B$7,2,0)</f>
        <v>Human Resources</v>
      </c>
      <c r="E59" s="5">
        <v>43138</v>
      </c>
      <c r="F59" s="6">
        <f t="shared" ca="1" si="1"/>
        <v>8</v>
      </c>
      <c r="G59" s="7">
        <v>91655</v>
      </c>
      <c r="H59" s="6">
        <v>95</v>
      </c>
      <c r="I59" t="str">
        <f>VLOOKUP(H59,Lookup_Performance!$A$2:$D$6,3,TRUE)</f>
        <v>Outstanding</v>
      </c>
      <c r="J59" s="9">
        <f>IFERROR(G59*VLOOKUP(H59,Lookup_Performance!$A$2:$D$6,4,TRUE),0)</f>
        <v>10998.6</v>
      </c>
      <c r="K59" t="s">
        <v>289</v>
      </c>
    </row>
    <row r="60" spans="1:11" x14ac:dyDescent="0.25">
      <c r="A60" t="s">
        <v>75</v>
      </c>
      <c r="B60" s="2" t="s">
        <v>185</v>
      </c>
      <c r="C60" t="s">
        <v>8</v>
      </c>
      <c r="D60" t="str">
        <f>VLOOKUP(Table1[[#This Row],[Dept Code]],Lookup_Departments!$A$1:$B$7,2,0)</f>
        <v>Information Technology</v>
      </c>
      <c r="E60" s="5">
        <v>45255</v>
      </c>
      <c r="F60" s="6">
        <f t="shared" ca="1" si="1"/>
        <v>2</v>
      </c>
      <c r="G60" s="7">
        <v>49435</v>
      </c>
      <c r="H60" s="6">
        <v>70</v>
      </c>
      <c r="I60" t="str">
        <f>VLOOKUP(H60,Lookup_Performance!$A$2:$D$6,3,TRUE)</f>
        <v>Achieving</v>
      </c>
      <c r="J60" s="9">
        <f>IFERROR(G60*VLOOKUP(H60,Lookup_Performance!$A$2:$D$6,4,TRUE),0)</f>
        <v>2471.75</v>
      </c>
      <c r="K60" t="s">
        <v>290</v>
      </c>
    </row>
    <row r="61" spans="1:11" x14ac:dyDescent="0.25">
      <c r="A61" t="s">
        <v>76</v>
      </c>
      <c r="B61" s="2" t="s">
        <v>218</v>
      </c>
      <c r="C61" t="s">
        <v>23</v>
      </c>
      <c r="D61" t="str">
        <f>VLOOKUP(Table1[[#This Row],[Dept Code]],Lookup_Departments!$A$1:$B$7,2,0)</f>
        <v>Sales</v>
      </c>
      <c r="E61" s="5">
        <v>45217</v>
      </c>
      <c r="F61" s="6">
        <f t="shared" ca="1" si="1"/>
        <v>2</v>
      </c>
      <c r="G61" s="7">
        <v>110381</v>
      </c>
      <c r="H61" s="6">
        <v>93</v>
      </c>
      <c r="I61" t="str">
        <f>VLOOKUP(H61,Lookup_Performance!$A$2:$D$6,3,TRUE)</f>
        <v>Exceeding</v>
      </c>
      <c r="J61" s="9">
        <f>IFERROR(G61*VLOOKUP(H61,Lookup_Performance!$A$2:$D$6,4,TRUE),0)</f>
        <v>8830.48</v>
      </c>
      <c r="K61" t="s">
        <v>289</v>
      </c>
    </row>
    <row r="62" spans="1:11" x14ac:dyDescent="0.25">
      <c r="A62" t="s">
        <v>77</v>
      </c>
      <c r="B62" s="2" t="s">
        <v>234</v>
      </c>
      <c r="C62" t="s">
        <v>50</v>
      </c>
      <c r="D62" t="str">
        <f>VLOOKUP(Table1[[#This Row],[Dept Code]],Lookup_Departments!$A$1:$B$7,2,0)</f>
        <v>Human Resources</v>
      </c>
      <c r="E62" s="5">
        <v>44079</v>
      </c>
      <c r="F62" s="6">
        <f t="shared" ca="1" si="1"/>
        <v>5</v>
      </c>
      <c r="G62" s="7">
        <v>114748</v>
      </c>
      <c r="H62" s="6">
        <v>33</v>
      </c>
      <c r="I62" t="str">
        <f>VLOOKUP(H62,Lookup_Performance!$A$2:$D$6,3,TRUE)</f>
        <v>Needs Improvement</v>
      </c>
      <c r="J62" s="9">
        <f>IFERROR(G62*VLOOKUP(H62,Lookup_Performance!$A$2:$D$6,4,TRUE),0)</f>
        <v>0</v>
      </c>
      <c r="K62" t="s">
        <v>289</v>
      </c>
    </row>
    <row r="63" spans="1:11" x14ac:dyDescent="0.25">
      <c r="A63" t="s">
        <v>78</v>
      </c>
      <c r="B63" s="2" t="s">
        <v>235</v>
      </c>
      <c r="C63" t="s">
        <v>17</v>
      </c>
      <c r="D63" t="str">
        <f>VLOOKUP(Table1[[#This Row],[Dept Code]],Lookup_Departments!$A$1:$B$7,2,0)</f>
        <v>Operations</v>
      </c>
      <c r="E63" s="5">
        <v>42800</v>
      </c>
      <c r="F63" s="6">
        <f t="shared" ca="1" si="1"/>
        <v>9</v>
      </c>
      <c r="G63" s="7">
        <v>63302</v>
      </c>
      <c r="H63" s="6">
        <v>91</v>
      </c>
      <c r="I63" t="str">
        <f>VLOOKUP(H63,Lookup_Performance!$A$2:$D$6,3,TRUE)</f>
        <v>Exceeding</v>
      </c>
      <c r="J63" s="9">
        <f>IFERROR(G63*VLOOKUP(H63,Lookup_Performance!$A$2:$D$6,4,TRUE),0)</f>
        <v>5064.16</v>
      </c>
      <c r="K63" t="s">
        <v>289</v>
      </c>
    </row>
    <row r="64" spans="1:11" x14ac:dyDescent="0.25">
      <c r="A64" t="s">
        <v>79</v>
      </c>
      <c r="B64" s="2" t="s">
        <v>236</v>
      </c>
      <c r="C64" t="s">
        <v>8</v>
      </c>
      <c r="D64" t="str">
        <f>VLOOKUP(Table1[[#This Row],[Dept Code]],Lookup_Departments!$A$1:$B$7,2,0)</f>
        <v>Information Technology</v>
      </c>
      <c r="E64" s="5">
        <v>42122</v>
      </c>
      <c r="F64" s="6">
        <f t="shared" ca="1" si="1"/>
        <v>11</v>
      </c>
      <c r="G64" s="7">
        <v>75519</v>
      </c>
      <c r="H64" s="6">
        <v>64</v>
      </c>
      <c r="I64" t="str">
        <f>VLOOKUP(H64,Lookup_Performance!$A$2:$D$6,3,TRUE)</f>
        <v>Developing</v>
      </c>
      <c r="J64" s="9">
        <f>IFERROR(G64*VLOOKUP(H64,Lookup_Performance!$A$2:$D$6,4,TRUE),0)</f>
        <v>1510.38</v>
      </c>
      <c r="K64" t="s">
        <v>289</v>
      </c>
    </row>
    <row r="65" spans="1:11" x14ac:dyDescent="0.25">
      <c r="A65" t="s">
        <v>80</v>
      </c>
      <c r="B65" s="2" t="s">
        <v>228</v>
      </c>
      <c r="C65" t="s">
        <v>13</v>
      </c>
      <c r="D65" t="str">
        <f>VLOOKUP(Table1[[#This Row],[Dept Code]],Lookup_Departments!$A$1:$B$7,2,0)</f>
        <v>Finance</v>
      </c>
      <c r="E65" s="5">
        <v>42838</v>
      </c>
      <c r="F65" s="6">
        <f t="shared" ca="1" si="1"/>
        <v>9</v>
      </c>
      <c r="G65" s="7">
        <v>103891</v>
      </c>
      <c r="H65" s="6">
        <v>80</v>
      </c>
      <c r="I65" t="str">
        <f>VLOOKUP(H65,Lookup_Performance!$A$2:$D$6,3,TRUE)</f>
        <v>Achieving</v>
      </c>
      <c r="J65" s="9">
        <f>IFERROR(G65*VLOOKUP(H65,Lookup_Performance!$A$2:$D$6,4,TRUE),0)</f>
        <v>5194.55</v>
      </c>
      <c r="K65" t="s">
        <v>289</v>
      </c>
    </row>
    <row r="66" spans="1:11" x14ac:dyDescent="0.25">
      <c r="A66" t="s">
        <v>81</v>
      </c>
      <c r="B66" s="2" t="s">
        <v>237</v>
      </c>
      <c r="C66" t="s">
        <v>17</v>
      </c>
      <c r="D66" t="str">
        <f>VLOOKUP(Table1[[#This Row],[Dept Code]],Lookup_Departments!$A$1:$B$7,2,0)</f>
        <v>Operations</v>
      </c>
      <c r="E66" s="5">
        <v>44827</v>
      </c>
      <c r="F66" s="6">
        <f t="shared" ref="F66:F97" ca="1" si="2">DATEDIF(E66,TODAY(),"Y")</f>
        <v>3</v>
      </c>
      <c r="G66" s="7">
        <v>79271</v>
      </c>
      <c r="H66" s="6">
        <v>46</v>
      </c>
      <c r="I66" t="str">
        <f>VLOOKUP(H66,Lookup_Performance!$A$2:$D$6,3,TRUE)</f>
        <v>Needs Improvement</v>
      </c>
      <c r="J66" s="9">
        <f>IFERROR(G66*VLOOKUP(H66,Lookup_Performance!$A$2:$D$6,4,TRUE),0)</f>
        <v>0</v>
      </c>
      <c r="K66" t="s">
        <v>290</v>
      </c>
    </row>
    <row r="67" spans="1:11" x14ac:dyDescent="0.25">
      <c r="A67" t="s">
        <v>82</v>
      </c>
      <c r="B67" s="2" t="s">
        <v>238</v>
      </c>
      <c r="C67" t="s">
        <v>10</v>
      </c>
      <c r="D67" t="str">
        <f>VLOOKUP(Table1[[#This Row],[Dept Code]],Lookup_Departments!$A$1:$B$7,2,0)</f>
        <v>Marketing</v>
      </c>
      <c r="E67" s="5">
        <v>42685</v>
      </c>
      <c r="F67" s="6">
        <f t="shared" ca="1" si="2"/>
        <v>9</v>
      </c>
      <c r="G67" s="7">
        <v>50936</v>
      </c>
      <c r="H67" s="6">
        <v>99</v>
      </c>
      <c r="I67" t="str">
        <f>VLOOKUP(H67,Lookup_Performance!$A$2:$D$6,3,TRUE)</f>
        <v>Outstanding</v>
      </c>
      <c r="J67" s="9">
        <f>IFERROR(G67*VLOOKUP(H67,Lookup_Performance!$A$2:$D$6,4,TRUE),0)</f>
        <v>6112.32</v>
      </c>
      <c r="K67" t="s">
        <v>289</v>
      </c>
    </row>
    <row r="68" spans="1:11" x14ac:dyDescent="0.25">
      <c r="A68" t="s">
        <v>83</v>
      </c>
      <c r="B68" s="2" t="s">
        <v>239</v>
      </c>
      <c r="C68" t="s">
        <v>23</v>
      </c>
      <c r="D68" t="str">
        <f>VLOOKUP(Table1[[#This Row],[Dept Code]],Lookup_Departments!$A$1:$B$7,2,0)</f>
        <v>Sales</v>
      </c>
      <c r="E68" s="5">
        <v>42818</v>
      </c>
      <c r="F68" s="6">
        <f t="shared" ca="1" si="2"/>
        <v>9</v>
      </c>
      <c r="G68" s="7">
        <v>111240</v>
      </c>
      <c r="H68" s="6">
        <v>70</v>
      </c>
      <c r="I68" t="str">
        <f>VLOOKUP(H68,Lookup_Performance!$A$2:$D$6,3,TRUE)</f>
        <v>Achieving</v>
      </c>
      <c r="J68" s="9">
        <f>IFERROR(G68*VLOOKUP(H68,Lookup_Performance!$A$2:$D$6,4,TRUE),0)</f>
        <v>5562</v>
      </c>
      <c r="K68" t="s">
        <v>289</v>
      </c>
    </row>
    <row r="69" spans="1:11" x14ac:dyDescent="0.25">
      <c r="A69" t="s">
        <v>84</v>
      </c>
      <c r="B69" s="2" t="s">
        <v>240</v>
      </c>
      <c r="C69" t="s">
        <v>50</v>
      </c>
      <c r="D69" t="str">
        <f>VLOOKUP(Table1[[#This Row],[Dept Code]],Lookup_Departments!$A$1:$B$7,2,0)</f>
        <v>Human Resources</v>
      </c>
      <c r="E69" s="5">
        <v>43590</v>
      </c>
      <c r="F69" s="6">
        <f t="shared" ca="1" si="2"/>
        <v>7</v>
      </c>
      <c r="G69" s="7">
        <v>51567</v>
      </c>
      <c r="H69" s="6">
        <v>87</v>
      </c>
      <c r="I69" t="str">
        <f>VLOOKUP(H69,Lookup_Performance!$A$2:$D$6,3,TRUE)</f>
        <v>Exceeding</v>
      </c>
      <c r="J69" s="9">
        <f>IFERROR(G69*VLOOKUP(H69,Lookup_Performance!$A$2:$D$6,4,TRUE),0)</f>
        <v>4125.3599999999997</v>
      </c>
      <c r="K69" t="s">
        <v>291</v>
      </c>
    </row>
    <row r="70" spans="1:11" x14ac:dyDescent="0.25">
      <c r="A70" t="s">
        <v>85</v>
      </c>
      <c r="B70" s="2" t="s">
        <v>241</v>
      </c>
      <c r="C70" t="s">
        <v>50</v>
      </c>
      <c r="D70" t="str">
        <f>VLOOKUP(Table1[[#This Row],[Dept Code]],Lookup_Departments!$A$1:$B$7,2,0)</f>
        <v>Human Resources</v>
      </c>
      <c r="E70" s="5">
        <v>44402</v>
      </c>
      <c r="F70" s="6">
        <f t="shared" ca="1" si="2"/>
        <v>4</v>
      </c>
      <c r="G70" s="7">
        <v>79271</v>
      </c>
      <c r="H70" s="6">
        <v>36</v>
      </c>
      <c r="I70" t="str">
        <f>VLOOKUP(H70,Lookup_Performance!$A$2:$D$6,3,TRUE)</f>
        <v>Needs Improvement</v>
      </c>
      <c r="J70" s="9">
        <f>IFERROR(G70*VLOOKUP(H70,Lookup_Performance!$A$2:$D$6,4,TRUE),0)</f>
        <v>0</v>
      </c>
      <c r="K70" t="s">
        <v>289</v>
      </c>
    </row>
    <row r="71" spans="1:11" x14ac:dyDescent="0.25">
      <c r="A71" t="s">
        <v>86</v>
      </c>
      <c r="B71" s="2" t="s">
        <v>236</v>
      </c>
      <c r="C71" t="s">
        <v>50</v>
      </c>
      <c r="D71" t="str">
        <f>VLOOKUP(Table1[[#This Row],[Dept Code]],Lookup_Departments!$A$1:$B$7,2,0)</f>
        <v>Human Resources</v>
      </c>
      <c r="E71" s="5">
        <v>43008</v>
      </c>
      <c r="F71" s="6">
        <f t="shared" ca="1" si="2"/>
        <v>8</v>
      </c>
      <c r="G71" s="7">
        <v>55270</v>
      </c>
      <c r="H71" s="6">
        <v>87</v>
      </c>
      <c r="I71" t="str">
        <f>VLOOKUP(H71,Lookup_Performance!$A$2:$D$6,3,TRUE)</f>
        <v>Exceeding</v>
      </c>
      <c r="J71" s="9">
        <f>IFERROR(G71*VLOOKUP(H71,Lookup_Performance!$A$2:$D$6,4,TRUE),0)</f>
        <v>4421.6000000000004</v>
      </c>
      <c r="K71" t="s">
        <v>289</v>
      </c>
    </row>
    <row r="72" spans="1:11" x14ac:dyDescent="0.25">
      <c r="A72" t="s">
        <v>87</v>
      </c>
      <c r="B72" s="2" t="s">
        <v>242</v>
      </c>
      <c r="C72" t="s">
        <v>23</v>
      </c>
      <c r="D72" t="str">
        <f>VLOOKUP(Table1[[#This Row],[Dept Code]],Lookup_Departments!$A$1:$B$7,2,0)</f>
        <v>Sales</v>
      </c>
      <c r="E72" s="5">
        <v>42192</v>
      </c>
      <c r="F72" s="6">
        <f t="shared" ca="1" si="2"/>
        <v>10</v>
      </c>
      <c r="G72" s="7">
        <v>65235</v>
      </c>
      <c r="H72" s="6">
        <v>97</v>
      </c>
      <c r="I72" t="str">
        <f>VLOOKUP(H72,Lookup_Performance!$A$2:$D$6,3,TRUE)</f>
        <v>Outstanding</v>
      </c>
      <c r="J72" s="9">
        <f>IFERROR(G72*VLOOKUP(H72,Lookup_Performance!$A$2:$D$6,4,TRUE),0)</f>
        <v>7828.2</v>
      </c>
      <c r="K72" t="s">
        <v>289</v>
      </c>
    </row>
    <row r="73" spans="1:11" x14ac:dyDescent="0.25">
      <c r="A73" t="s">
        <v>88</v>
      </c>
      <c r="B73" s="2" t="s">
        <v>243</v>
      </c>
      <c r="C73" t="s">
        <v>23</v>
      </c>
      <c r="D73" t="str">
        <f>VLOOKUP(Table1[[#This Row],[Dept Code]],Lookup_Departments!$A$1:$B$7,2,0)</f>
        <v>Sales</v>
      </c>
      <c r="E73" s="5">
        <v>43283</v>
      </c>
      <c r="F73" s="6">
        <f t="shared" ca="1" si="2"/>
        <v>8</v>
      </c>
      <c r="G73" s="7">
        <v>79271</v>
      </c>
      <c r="H73" s="6">
        <v>72</v>
      </c>
      <c r="I73" t="str">
        <f>VLOOKUP(H73,Lookup_Performance!$A$2:$D$6,3,TRUE)</f>
        <v>Achieving</v>
      </c>
      <c r="J73" s="9">
        <f>IFERROR(G73*VLOOKUP(H73,Lookup_Performance!$A$2:$D$6,4,TRUE),0)</f>
        <v>3963.55</v>
      </c>
      <c r="K73" t="s">
        <v>290</v>
      </c>
    </row>
    <row r="74" spans="1:11" x14ac:dyDescent="0.25">
      <c r="A74" t="s">
        <v>89</v>
      </c>
      <c r="B74" s="2" t="s">
        <v>244</v>
      </c>
      <c r="C74" t="s">
        <v>23</v>
      </c>
      <c r="D74" t="str">
        <f>VLOOKUP(Table1[[#This Row],[Dept Code]],Lookup_Departments!$A$1:$B$7,2,0)</f>
        <v>Sales</v>
      </c>
      <c r="E74" s="5">
        <v>44819</v>
      </c>
      <c r="F74" s="6">
        <f t="shared" ca="1" si="2"/>
        <v>3</v>
      </c>
      <c r="G74" s="7">
        <v>79271</v>
      </c>
      <c r="H74" s="6">
        <v>65</v>
      </c>
      <c r="I74" t="str">
        <f>VLOOKUP(H74,Lookup_Performance!$A$2:$D$6,3,TRUE)</f>
        <v>Developing</v>
      </c>
      <c r="J74" s="9">
        <f>IFERROR(G74*VLOOKUP(H74,Lookup_Performance!$A$2:$D$6,4,TRUE),0)</f>
        <v>1585.42</v>
      </c>
      <c r="K74" t="s">
        <v>290</v>
      </c>
    </row>
    <row r="75" spans="1:11" x14ac:dyDescent="0.25">
      <c r="A75" t="s">
        <v>90</v>
      </c>
      <c r="B75" s="2" t="s">
        <v>245</v>
      </c>
      <c r="C75" t="s">
        <v>23</v>
      </c>
      <c r="D75" t="str">
        <f>VLOOKUP(Table1[[#This Row],[Dept Code]],Lookup_Departments!$A$1:$B$7,2,0)</f>
        <v>Sales</v>
      </c>
      <c r="E75" s="5">
        <v>42249</v>
      </c>
      <c r="F75" s="6">
        <f t="shared" ca="1" si="2"/>
        <v>10</v>
      </c>
      <c r="G75" s="7">
        <v>79271</v>
      </c>
      <c r="H75" s="6">
        <v>67</v>
      </c>
      <c r="I75" t="str">
        <f>VLOOKUP(H75,Lookup_Performance!$A$2:$D$6,3,TRUE)</f>
        <v>Developing</v>
      </c>
      <c r="J75" s="9">
        <f>IFERROR(G75*VLOOKUP(H75,Lookup_Performance!$A$2:$D$6,4,TRUE),0)</f>
        <v>1585.42</v>
      </c>
      <c r="K75" t="s">
        <v>289</v>
      </c>
    </row>
    <row r="76" spans="1:11" x14ac:dyDescent="0.25">
      <c r="A76" t="s">
        <v>91</v>
      </c>
      <c r="B76" s="2" t="s">
        <v>246</v>
      </c>
      <c r="C76" t="s">
        <v>17</v>
      </c>
      <c r="D76" t="str">
        <f>VLOOKUP(Table1[[#This Row],[Dept Code]],Lookup_Departments!$A$1:$B$7,2,0)</f>
        <v>Operations</v>
      </c>
      <c r="E76" s="5">
        <v>42654</v>
      </c>
      <c r="F76" s="6">
        <f t="shared" ca="1" si="2"/>
        <v>9</v>
      </c>
      <c r="G76" s="7">
        <v>48823</v>
      </c>
      <c r="H76" s="6">
        <v>34</v>
      </c>
      <c r="I76" t="str">
        <f>VLOOKUP(H76,Lookup_Performance!$A$2:$D$6,3,TRUE)</f>
        <v>Needs Improvement</v>
      </c>
      <c r="J76" s="9">
        <f>IFERROR(G76*VLOOKUP(H76,Lookup_Performance!$A$2:$D$6,4,TRUE),0)</f>
        <v>0</v>
      </c>
      <c r="K76" t="s">
        <v>289</v>
      </c>
    </row>
    <row r="77" spans="1:11" x14ac:dyDescent="0.25">
      <c r="A77" t="s">
        <v>92</v>
      </c>
      <c r="B77" s="2" t="s">
        <v>245</v>
      </c>
      <c r="C77" t="s">
        <v>13</v>
      </c>
      <c r="D77" t="str">
        <f>VLOOKUP(Table1[[#This Row],[Dept Code]],Lookup_Departments!$A$1:$B$7,2,0)</f>
        <v>Finance</v>
      </c>
      <c r="E77" s="5">
        <v>43575</v>
      </c>
      <c r="F77" s="6">
        <f t="shared" ca="1" si="2"/>
        <v>7</v>
      </c>
      <c r="G77" s="7">
        <v>45196</v>
      </c>
      <c r="H77" s="6">
        <v>78</v>
      </c>
      <c r="I77" t="str">
        <f>VLOOKUP(H77,Lookup_Performance!$A$2:$D$6,3,TRUE)</f>
        <v>Achieving</v>
      </c>
      <c r="J77" s="9">
        <f>IFERROR(G77*VLOOKUP(H77,Lookup_Performance!$A$2:$D$6,4,TRUE),0)</f>
        <v>2259.8000000000002</v>
      </c>
      <c r="K77" t="s">
        <v>290</v>
      </c>
    </row>
    <row r="78" spans="1:11" x14ac:dyDescent="0.25">
      <c r="A78" t="s">
        <v>93</v>
      </c>
      <c r="B78" s="2" t="s">
        <v>247</v>
      </c>
      <c r="C78" t="s">
        <v>8</v>
      </c>
      <c r="D78" t="str">
        <f>VLOOKUP(Table1[[#This Row],[Dept Code]],Lookup_Departments!$A$1:$B$7,2,0)</f>
        <v>Information Technology</v>
      </c>
      <c r="E78" s="5">
        <v>42785</v>
      </c>
      <c r="F78" s="6">
        <f t="shared" ca="1" si="2"/>
        <v>9</v>
      </c>
      <c r="G78" s="7">
        <v>86246</v>
      </c>
      <c r="H78" s="6">
        <v>61</v>
      </c>
      <c r="I78" t="str">
        <f>VLOOKUP(H78,Lookup_Performance!$A$2:$D$6,3,TRUE)</f>
        <v>Developing</v>
      </c>
      <c r="J78" s="9">
        <f>IFERROR(G78*VLOOKUP(H78,Lookup_Performance!$A$2:$D$6,4,TRUE),0)</f>
        <v>1724.92</v>
      </c>
      <c r="K78" t="s">
        <v>289</v>
      </c>
    </row>
    <row r="79" spans="1:11" x14ac:dyDescent="0.25">
      <c r="A79" t="s">
        <v>94</v>
      </c>
      <c r="B79" s="2" t="s">
        <v>194</v>
      </c>
      <c r="C79" t="s">
        <v>23</v>
      </c>
      <c r="D79" t="str">
        <f>VLOOKUP(Table1[[#This Row],[Dept Code]],Lookup_Departments!$A$1:$B$7,2,0)</f>
        <v>Sales</v>
      </c>
      <c r="E79" s="5">
        <v>44446</v>
      </c>
      <c r="F79" s="6">
        <f t="shared" ca="1" si="2"/>
        <v>4</v>
      </c>
      <c r="G79" s="7">
        <v>70359</v>
      </c>
      <c r="H79" s="6">
        <v>74</v>
      </c>
      <c r="I79" t="str">
        <f>VLOOKUP(H79,Lookup_Performance!$A$2:$D$6,3,TRUE)</f>
        <v>Achieving</v>
      </c>
      <c r="J79" s="9">
        <f>IFERROR(G79*VLOOKUP(H79,Lookup_Performance!$A$2:$D$6,4,TRUE),0)</f>
        <v>3517.9500000000003</v>
      </c>
      <c r="K79" t="s">
        <v>290</v>
      </c>
    </row>
    <row r="80" spans="1:11" x14ac:dyDescent="0.25">
      <c r="A80" t="s">
        <v>95</v>
      </c>
      <c r="B80" s="2" t="s">
        <v>217</v>
      </c>
      <c r="C80" t="s">
        <v>10</v>
      </c>
      <c r="D80" t="str">
        <f>VLOOKUP(Table1[[#This Row],[Dept Code]],Lookup_Departments!$A$1:$B$7,2,0)</f>
        <v>Marketing</v>
      </c>
      <c r="E80" s="5">
        <v>43599</v>
      </c>
      <c r="F80" s="6">
        <f t="shared" ca="1" si="2"/>
        <v>7</v>
      </c>
      <c r="G80" s="7">
        <v>79271</v>
      </c>
      <c r="H80" s="6">
        <v>94</v>
      </c>
      <c r="I80" t="str">
        <f>VLOOKUP(H80,Lookup_Performance!$A$2:$D$6,3,TRUE)</f>
        <v>Exceeding</v>
      </c>
      <c r="J80" s="9">
        <f>IFERROR(G80*VLOOKUP(H80,Lookup_Performance!$A$2:$D$6,4,TRUE),0)</f>
        <v>6341.68</v>
      </c>
      <c r="K80" t="s">
        <v>289</v>
      </c>
    </row>
    <row r="81" spans="1:11" x14ac:dyDescent="0.25">
      <c r="A81" t="s">
        <v>96</v>
      </c>
      <c r="B81" s="2" t="s">
        <v>248</v>
      </c>
      <c r="C81" t="s">
        <v>17</v>
      </c>
      <c r="D81" t="str">
        <f>VLOOKUP(Table1[[#This Row],[Dept Code]],Lookup_Departments!$A$1:$B$7,2,0)</f>
        <v>Operations</v>
      </c>
      <c r="E81" s="5">
        <v>42330</v>
      </c>
      <c r="F81" s="6">
        <f t="shared" ca="1" si="2"/>
        <v>10</v>
      </c>
      <c r="G81" s="7">
        <v>86480</v>
      </c>
      <c r="H81" s="6">
        <v>70</v>
      </c>
      <c r="I81" t="str">
        <f>VLOOKUP(H81,Lookup_Performance!$A$2:$D$6,3,TRUE)</f>
        <v>Achieving</v>
      </c>
      <c r="J81" s="9">
        <f>IFERROR(G81*VLOOKUP(H81,Lookup_Performance!$A$2:$D$6,4,TRUE),0)</f>
        <v>4324</v>
      </c>
      <c r="K81" t="s">
        <v>289</v>
      </c>
    </row>
    <row r="82" spans="1:11" x14ac:dyDescent="0.25">
      <c r="A82" t="s">
        <v>97</v>
      </c>
      <c r="B82" s="2" t="s">
        <v>249</v>
      </c>
      <c r="C82" t="s">
        <v>50</v>
      </c>
      <c r="D82" t="str">
        <f>VLOOKUP(Table1[[#This Row],[Dept Code]],Lookup_Departments!$A$1:$B$7,2,0)</f>
        <v>Human Resources</v>
      </c>
      <c r="E82" s="5">
        <v>43372</v>
      </c>
      <c r="F82" s="6">
        <f t="shared" ca="1" si="2"/>
        <v>7</v>
      </c>
      <c r="G82" s="7">
        <v>47694</v>
      </c>
      <c r="H82" s="6">
        <v>75</v>
      </c>
      <c r="I82" t="str">
        <f>VLOOKUP(H82,Lookup_Performance!$A$2:$D$6,3,TRUE)</f>
        <v>Achieving</v>
      </c>
      <c r="J82" s="9">
        <f>IFERROR(G82*VLOOKUP(H82,Lookup_Performance!$A$2:$D$6,4,TRUE),0)</f>
        <v>2384.7000000000003</v>
      </c>
      <c r="K82" t="s">
        <v>289</v>
      </c>
    </row>
    <row r="83" spans="1:11" x14ac:dyDescent="0.25">
      <c r="A83" t="s">
        <v>98</v>
      </c>
      <c r="B83" s="2" t="s">
        <v>250</v>
      </c>
      <c r="C83" t="s">
        <v>8</v>
      </c>
      <c r="D83" t="str">
        <f>VLOOKUP(Table1[[#This Row],[Dept Code]],Lookup_Departments!$A$1:$B$7,2,0)</f>
        <v>Information Technology</v>
      </c>
      <c r="E83" s="5">
        <v>45171</v>
      </c>
      <c r="F83" s="6">
        <f t="shared" ca="1" si="2"/>
        <v>2</v>
      </c>
      <c r="G83" s="7">
        <v>83724</v>
      </c>
      <c r="H83" s="6">
        <v>81</v>
      </c>
      <c r="I83" t="str">
        <f>VLOOKUP(H83,Lookup_Performance!$A$2:$D$6,3,TRUE)</f>
        <v>Achieving</v>
      </c>
      <c r="J83" s="9">
        <f>IFERROR(G83*VLOOKUP(H83,Lookup_Performance!$A$2:$D$6,4,TRUE),0)</f>
        <v>4186.2</v>
      </c>
      <c r="K83" t="s">
        <v>291</v>
      </c>
    </row>
    <row r="84" spans="1:11" x14ac:dyDescent="0.25">
      <c r="A84" t="s">
        <v>99</v>
      </c>
      <c r="B84" s="2" t="s">
        <v>251</v>
      </c>
      <c r="C84" t="s">
        <v>13</v>
      </c>
      <c r="D84" t="str">
        <f>VLOOKUP(Table1[[#This Row],[Dept Code]],Lookup_Departments!$A$1:$B$7,2,0)</f>
        <v>Finance</v>
      </c>
      <c r="E84" s="5">
        <v>44759</v>
      </c>
      <c r="F84" s="6">
        <f t="shared" ca="1" si="2"/>
        <v>3</v>
      </c>
      <c r="G84" s="7">
        <v>98299</v>
      </c>
      <c r="H84" s="6">
        <v>61</v>
      </c>
      <c r="I84" t="str">
        <f>VLOOKUP(H84,Lookup_Performance!$A$2:$D$6,3,TRUE)</f>
        <v>Developing</v>
      </c>
      <c r="J84" s="9">
        <f>IFERROR(G84*VLOOKUP(H84,Lookup_Performance!$A$2:$D$6,4,TRUE),0)</f>
        <v>1965.98</v>
      </c>
      <c r="K84" t="s">
        <v>289</v>
      </c>
    </row>
    <row r="85" spans="1:11" x14ac:dyDescent="0.25">
      <c r="A85" t="s">
        <v>100</v>
      </c>
      <c r="B85" s="2" t="s">
        <v>252</v>
      </c>
      <c r="C85" t="s">
        <v>13</v>
      </c>
      <c r="D85" t="str">
        <f>VLOOKUP(Table1[[#This Row],[Dept Code]],Lookup_Departments!$A$1:$B$7,2,0)</f>
        <v>Finance</v>
      </c>
      <c r="E85" s="5">
        <v>44234</v>
      </c>
      <c r="F85" s="6">
        <f t="shared" ca="1" si="2"/>
        <v>5</v>
      </c>
      <c r="G85" s="7">
        <v>79271</v>
      </c>
      <c r="H85" s="6">
        <v>68</v>
      </c>
      <c r="I85" t="str">
        <f>VLOOKUP(H85,Lookup_Performance!$A$2:$D$6,3,TRUE)</f>
        <v>Developing</v>
      </c>
      <c r="J85" s="9">
        <f>IFERROR(G85*VLOOKUP(H85,Lookup_Performance!$A$2:$D$6,4,TRUE),0)</f>
        <v>1585.42</v>
      </c>
      <c r="K85" t="s">
        <v>289</v>
      </c>
    </row>
    <row r="86" spans="1:11" x14ac:dyDescent="0.25">
      <c r="A86" t="s">
        <v>101</v>
      </c>
      <c r="B86" s="2" t="s">
        <v>253</v>
      </c>
      <c r="C86" t="s">
        <v>8</v>
      </c>
      <c r="D86" t="str">
        <f>VLOOKUP(Table1[[#This Row],[Dept Code]],Lookup_Departments!$A$1:$B$7,2,0)</f>
        <v>Information Technology</v>
      </c>
      <c r="E86" s="5">
        <v>45203</v>
      </c>
      <c r="F86" s="6">
        <f t="shared" ca="1" si="2"/>
        <v>2</v>
      </c>
      <c r="G86" s="7">
        <v>52287</v>
      </c>
      <c r="H86" s="6">
        <v>70</v>
      </c>
      <c r="I86" t="str">
        <f>VLOOKUP(H86,Lookup_Performance!$A$2:$D$6,3,TRUE)</f>
        <v>Achieving</v>
      </c>
      <c r="J86" s="9">
        <f>IFERROR(G86*VLOOKUP(H86,Lookup_Performance!$A$2:$D$6,4,TRUE),0)</f>
        <v>2614.3500000000004</v>
      </c>
      <c r="K86" t="s">
        <v>289</v>
      </c>
    </row>
    <row r="87" spans="1:11" x14ac:dyDescent="0.25">
      <c r="A87" t="s">
        <v>102</v>
      </c>
      <c r="B87" s="2" t="s">
        <v>240</v>
      </c>
      <c r="C87" t="s">
        <v>8</v>
      </c>
      <c r="D87" t="str">
        <f>VLOOKUP(Table1[[#This Row],[Dept Code]],Lookup_Departments!$A$1:$B$7,2,0)</f>
        <v>Information Technology</v>
      </c>
      <c r="E87" s="5">
        <v>44073</v>
      </c>
      <c r="F87" s="6">
        <f t="shared" ca="1" si="2"/>
        <v>5</v>
      </c>
      <c r="G87" s="7">
        <v>82633</v>
      </c>
      <c r="H87" s="6">
        <v>98</v>
      </c>
      <c r="I87" t="str">
        <f>VLOOKUP(H87,Lookup_Performance!$A$2:$D$6,3,TRUE)</f>
        <v>Outstanding</v>
      </c>
      <c r="J87" s="9">
        <f>IFERROR(G87*VLOOKUP(H87,Lookup_Performance!$A$2:$D$6,4,TRUE),0)</f>
        <v>9915.9599999999991</v>
      </c>
      <c r="K87" t="s">
        <v>289</v>
      </c>
    </row>
    <row r="88" spans="1:11" x14ac:dyDescent="0.25">
      <c r="A88" t="s">
        <v>103</v>
      </c>
      <c r="B88" s="2" t="s">
        <v>254</v>
      </c>
      <c r="C88" t="s">
        <v>17</v>
      </c>
      <c r="D88" t="str">
        <f>VLOOKUP(Table1[[#This Row],[Dept Code]],Lookup_Departments!$A$1:$B$7,2,0)</f>
        <v>Operations</v>
      </c>
      <c r="E88" s="5">
        <v>44422</v>
      </c>
      <c r="F88" s="6">
        <f t="shared" ca="1" si="2"/>
        <v>4</v>
      </c>
      <c r="G88" s="7">
        <v>46508</v>
      </c>
      <c r="H88" s="6">
        <v>34</v>
      </c>
      <c r="I88" t="str">
        <f>VLOOKUP(H88,Lookup_Performance!$A$2:$D$6,3,TRUE)</f>
        <v>Needs Improvement</v>
      </c>
      <c r="J88" s="9">
        <f>IFERROR(G88*VLOOKUP(H88,Lookup_Performance!$A$2:$D$6,4,TRUE),0)</f>
        <v>0</v>
      </c>
      <c r="K88" t="s">
        <v>289</v>
      </c>
    </row>
    <row r="89" spans="1:11" x14ac:dyDescent="0.25">
      <c r="A89" t="s">
        <v>104</v>
      </c>
      <c r="B89" s="2" t="s">
        <v>187</v>
      </c>
      <c r="C89" t="s">
        <v>50</v>
      </c>
      <c r="D89" t="str">
        <f>VLOOKUP(Table1[[#This Row],[Dept Code]],Lookup_Departments!$A$1:$B$7,2,0)</f>
        <v>Human Resources</v>
      </c>
      <c r="E89" s="5">
        <v>43796</v>
      </c>
      <c r="F89" s="6">
        <f t="shared" ca="1" si="2"/>
        <v>6</v>
      </c>
      <c r="G89" s="7">
        <v>86232</v>
      </c>
      <c r="H89" s="6">
        <v>93</v>
      </c>
      <c r="I89" t="str">
        <f>VLOOKUP(H89,Lookup_Performance!$A$2:$D$6,3,TRUE)</f>
        <v>Exceeding</v>
      </c>
      <c r="J89" s="9">
        <f>IFERROR(G89*VLOOKUP(H89,Lookup_Performance!$A$2:$D$6,4,TRUE),0)</f>
        <v>6898.56</v>
      </c>
      <c r="K89" t="s">
        <v>289</v>
      </c>
    </row>
    <row r="90" spans="1:11" x14ac:dyDescent="0.25">
      <c r="A90" t="s">
        <v>105</v>
      </c>
      <c r="B90" s="2" t="s">
        <v>228</v>
      </c>
      <c r="C90" t="s">
        <v>8</v>
      </c>
      <c r="D90" t="str">
        <f>VLOOKUP(Table1[[#This Row],[Dept Code]],Lookup_Departments!$A$1:$B$7,2,0)</f>
        <v>Information Technology</v>
      </c>
      <c r="E90" s="5">
        <v>42880</v>
      </c>
      <c r="F90" s="6">
        <f t="shared" ca="1" si="2"/>
        <v>9</v>
      </c>
      <c r="G90" s="7">
        <v>77545</v>
      </c>
      <c r="H90" s="6">
        <v>48</v>
      </c>
      <c r="I90" t="str">
        <f>VLOOKUP(H90,Lookup_Performance!$A$2:$D$6,3,TRUE)</f>
        <v>Needs Improvement</v>
      </c>
      <c r="J90" s="9">
        <f>IFERROR(G90*VLOOKUP(H90,Lookup_Performance!$A$2:$D$6,4,TRUE),0)</f>
        <v>0</v>
      </c>
      <c r="K90" t="s">
        <v>289</v>
      </c>
    </row>
    <row r="91" spans="1:11" x14ac:dyDescent="0.25">
      <c r="A91" t="s">
        <v>106</v>
      </c>
      <c r="B91" s="2" t="s">
        <v>255</v>
      </c>
      <c r="C91" t="s">
        <v>17</v>
      </c>
      <c r="D91" t="str">
        <f>VLOOKUP(Table1[[#This Row],[Dept Code]],Lookup_Departments!$A$1:$B$7,2,0)</f>
        <v>Operations</v>
      </c>
      <c r="E91" s="5">
        <v>43436</v>
      </c>
      <c r="F91" s="6">
        <f t="shared" ca="1" si="2"/>
        <v>7</v>
      </c>
      <c r="G91" s="7">
        <v>68683</v>
      </c>
      <c r="H91" s="6">
        <v>90</v>
      </c>
      <c r="I91" t="str">
        <f>VLOOKUP(H91,Lookup_Performance!$A$2:$D$6,3,TRUE)</f>
        <v>Exceeding</v>
      </c>
      <c r="J91" s="9">
        <f>IFERROR(G91*VLOOKUP(H91,Lookup_Performance!$A$2:$D$6,4,TRUE),0)</f>
        <v>5494.64</v>
      </c>
      <c r="K91" t="s">
        <v>289</v>
      </c>
    </row>
    <row r="92" spans="1:11" x14ac:dyDescent="0.25">
      <c r="A92" t="s">
        <v>107</v>
      </c>
      <c r="B92" s="2" t="s">
        <v>238</v>
      </c>
      <c r="C92" t="s">
        <v>13</v>
      </c>
      <c r="D92" t="str">
        <f>VLOOKUP(Table1[[#This Row],[Dept Code]],Lookup_Departments!$A$1:$B$7,2,0)</f>
        <v>Finance</v>
      </c>
      <c r="E92" s="5">
        <v>43639</v>
      </c>
      <c r="F92" s="6">
        <f t="shared" ca="1" si="2"/>
        <v>7</v>
      </c>
      <c r="G92" s="7">
        <v>83932</v>
      </c>
      <c r="H92" s="6">
        <v>57</v>
      </c>
      <c r="I92" t="str">
        <f>VLOOKUP(H92,Lookup_Performance!$A$2:$D$6,3,TRUE)</f>
        <v>Developing</v>
      </c>
      <c r="J92" s="9">
        <f>IFERROR(G92*VLOOKUP(H92,Lookup_Performance!$A$2:$D$6,4,TRUE),0)</f>
        <v>1678.64</v>
      </c>
      <c r="K92" t="s">
        <v>290</v>
      </c>
    </row>
    <row r="93" spans="1:11" x14ac:dyDescent="0.25">
      <c r="A93" t="s">
        <v>108</v>
      </c>
      <c r="B93" s="2" t="s">
        <v>256</v>
      </c>
      <c r="C93" t="s">
        <v>50</v>
      </c>
      <c r="D93" t="str">
        <f>VLOOKUP(Table1[[#This Row],[Dept Code]],Lookup_Departments!$A$1:$B$7,2,0)</f>
        <v>Human Resources</v>
      </c>
      <c r="E93" s="5">
        <v>42304</v>
      </c>
      <c r="F93" s="6">
        <f t="shared" ca="1" si="2"/>
        <v>10</v>
      </c>
      <c r="G93" s="7">
        <v>56073</v>
      </c>
      <c r="H93" s="6">
        <v>79</v>
      </c>
      <c r="I93" t="str">
        <f>VLOOKUP(H93,Lookup_Performance!$A$2:$D$6,3,TRUE)</f>
        <v>Achieving</v>
      </c>
      <c r="J93" s="9">
        <f>IFERROR(G93*VLOOKUP(H93,Lookup_Performance!$A$2:$D$6,4,TRUE),0)</f>
        <v>2803.65</v>
      </c>
      <c r="K93" t="s">
        <v>289</v>
      </c>
    </row>
    <row r="94" spans="1:11" x14ac:dyDescent="0.25">
      <c r="A94" t="s">
        <v>109</v>
      </c>
      <c r="B94" s="2" t="s">
        <v>224</v>
      </c>
      <c r="C94" t="s">
        <v>8</v>
      </c>
      <c r="D94" t="str">
        <f>VLOOKUP(Table1[[#This Row],[Dept Code]],Lookup_Departments!$A$1:$B$7,2,0)</f>
        <v>Information Technology</v>
      </c>
      <c r="E94" s="5">
        <v>43270</v>
      </c>
      <c r="F94" s="6">
        <f t="shared" ca="1" si="2"/>
        <v>8</v>
      </c>
      <c r="G94" s="7">
        <v>88056</v>
      </c>
      <c r="H94" s="6">
        <v>66</v>
      </c>
      <c r="I94" t="str">
        <f>VLOOKUP(H94,Lookup_Performance!$A$2:$D$6,3,TRUE)</f>
        <v>Developing</v>
      </c>
      <c r="J94" s="9">
        <f>IFERROR(G94*VLOOKUP(H94,Lookup_Performance!$A$2:$D$6,4,TRUE),0)</f>
        <v>1761.1200000000001</v>
      </c>
      <c r="K94" t="s">
        <v>289</v>
      </c>
    </row>
    <row r="95" spans="1:11" x14ac:dyDescent="0.25">
      <c r="A95" t="s">
        <v>110</v>
      </c>
      <c r="B95" s="2" t="s">
        <v>257</v>
      </c>
      <c r="C95" t="s">
        <v>17</v>
      </c>
      <c r="D95" t="str">
        <f>VLOOKUP(Table1[[#This Row],[Dept Code]],Lookup_Departments!$A$1:$B$7,2,0)</f>
        <v>Operations</v>
      </c>
      <c r="E95" s="5">
        <v>43112</v>
      </c>
      <c r="F95" s="6">
        <f t="shared" ca="1" si="2"/>
        <v>8</v>
      </c>
      <c r="G95" s="7">
        <v>67414</v>
      </c>
      <c r="H95" s="6">
        <v>84</v>
      </c>
      <c r="I95" t="str">
        <f>VLOOKUP(H95,Lookup_Performance!$A$2:$D$6,3,TRUE)</f>
        <v>Achieving</v>
      </c>
      <c r="J95" s="9">
        <f>IFERROR(G95*VLOOKUP(H95,Lookup_Performance!$A$2:$D$6,4,TRUE),0)</f>
        <v>3370.7000000000003</v>
      </c>
      <c r="K95" t="s">
        <v>290</v>
      </c>
    </row>
    <row r="96" spans="1:11" x14ac:dyDescent="0.25">
      <c r="A96" t="s">
        <v>111</v>
      </c>
      <c r="B96" s="2" t="s">
        <v>255</v>
      </c>
      <c r="C96" t="s">
        <v>23</v>
      </c>
      <c r="D96" t="str">
        <f>VLOOKUP(Table1[[#This Row],[Dept Code]],Lookup_Departments!$A$1:$B$7,2,0)</f>
        <v>Sales</v>
      </c>
      <c r="E96" s="5">
        <v>42008</v>
      </c>
      <c r="F96" s="6">
        <f t="shared" ca="1" si="2"/>
        <v>11</v>
      </c>
      <c r="G96" s="7">
        <v>115288</v>
      </c>
      <c r="H96" s="6">
        <v>61</v>
      </c>
      <c r="I96" t="str">
        <f>VLOOKUP(H96,Lookup_Performance!$A$2:$D$6,3,TRUE)</f>
        <v>Developing</v>
      </c>
      <c r="J96" s="9">
        <f>IFERROR(G96*VLOOKUP(H96,Lookup_Performance!$A$2:$D$6,4,TRUE),0)</f>
        <v>2305.7600000000002</v>
      </c>
      <c r="K96" t="s">
        <v>289</v>
      </c>
    </row>
    <row r="97" spans="1:11" x14ac:dyDescent="0.25">
      <c r="A97" t="s">
        <v>112</v>
      </c>
      <c r="B97" s="2" t="s">
        <v>15</v>
      </c>
      <c r="C97" t="s">
        <v>23</v>
      </c>
      <c r="D97" t="str">
        <f>VLOOKUP(Table1[[#This Row],[Dept Code]],Lookup_Departments!$A$1:$B$7,2,0)</f>
        <v>Sales</v>
      </c>
      <c r="E97" s="5">
        <v>43439</v>
      </c>
      <c r="F97" s="6">
        <f t="shared" ca="1" si="2"/>
        <v>7</v>
      </c>
      <c r="G97" s="7">
        <v>80140</v>
      </c>
      <c r="H97" s="6">
        <v>58</v>
      </c>
      <c r="I97" t="str">
        <f>VLOOKUP(H97,Lookup_Performance!$A$2:$D$6,3,TRUE)</f>
        <v>Developing</v>
      </c>
      <c r="J97" s="9">
        <f>IFERROR(G97*VLOOKUP(H97,Lookup_Performance!$A$2:$D$6,4,TRUE),0)</f>
        <v>1602.8</v>
      </c>
      <c r="K97" t="s">
        <v>289</v>
      </c>
    </row>
    <row r="98" spans="1:11" x14ac:dyDescent="0.25">
      <c r="A98" t="s">
        <v>113</v>
      </c>
      <c r="B98" s="2" t="s">
        <v>253</v>
      </c>
      <c r="C98" t="s">
        <v>8</v>
      </c>
      <c r="D98" t="str">
        <f>VLOOKUP(Table1[[#This Row],[Dept Code]],Lookup_Departments!$A$1:$B$7,2,0)</f>
        <v>Information Technology</v>
      </c>
      <c r="E98" s="5">
        <v>44482</v>
      </c>
      <c r="F98" s="6">
        <f t="shared" ref="F98:F129" ca="1" si="3">DATEDIF(E98,TODAY(),"Y")</f>
        <v>4</v>
      </c>
      <c r="G98" s="7">
        <v>73087</v>
      </c>
      <c r="H98" s="6">
        <v>69</v>
      </c>
      <c r="I98" t="str">
        <f>VLOOKUP(H98,Lookup_Performance!$A$2:$D$6,3,TRUE)</f>
        <v>Developing</v>
      </c>
      <c r="J98" s="9">
        <f>IFERROR(G98*VLOOKUP(H98,Lookup_Performance!$A$2:$D$6,4,TRUE),0)</f>
        <v>1461.74</v>
      </c>
      <c r="K98" t="s">
        <v>289</v>
      </c>
    </row>
    <row r="99" spans="1:11" x14ac:dyDescent="0.25">
      <c r="A99" t="s">
        <v>114</v>
      </c>
      <c r="B99" s="2" t="s">
        <v>258</v>
      </c>
      <c r="C99" t="s">
        <v>23</v>
      </c>
      <c r="D99" t="str">
        <f>VLOOKUP(Table1[[#This Row],[Dept Code]],Lookup_Departments!$A$1:$B$7,2,0)</f>
        <v>Sales</v>
      </c>
      <c r="E99" s="5">
        <v>44081</v>
      </c>
      <c r="F99" s="6">
        <f t="shared" ca="1" si="3"/>
        <v>5</v>
      </c>
      <c r="G99" s="7">
        <v>95292</v>
      </c>
      <c r="H99" s="6">
        <v>34</v>
      </c>
      <c r="I99" t="str">
        <f>VLOOKUP(H99,Lookup_Performance!$A$2:$D$6,3,TRUE)</f>
        <v>Needs Improvement</v>
      </c>
      <c r="J99" s="9">
        <f>IFERROR(G99*VLOOKUP(H99,Lookup_Performance!$A$2:$D$6,4,TRUE),0)</f>
        <v>0</v>
      </c>
      <c r="K99" t="s">
        <v>289</v>
      </c>
    </row>
    <row r="100" spans="1:11" x14ac:dyDescent="0.25">
      <c r="A100" t="s">
        <v>115</v>
      </c>
      <c r="B100" s="2" t="s">
        <v>259</v>
      </c>
      <c r="C100" t="s">
        <v>8</v>
      </c>
      <c r="D100" t="str">
        <f>VLOOKUP(Table1[[#This Row],[Dept Code]],Lookup_Departments!$A$1:$B$7,2,0)</f>
        <v>Information Technology</v>
      </c>
      <c r="E100" s="5">
        <v>43532</v>
      </c>
      <c r="F100" s="6">
        <f t="shared" ca="1" si="3"/>
        <v>7</v>
      </c>
      <c r="G100" s="7">
        <v>79271</v>
      </c>
      <c r="H100" s="6">
        <v>33</v>
      </c>
      <c r="I100" t="str">
        <f>VLOOKUP(H100,Lookup_Performance!$A$2:$D$6,3,TRUE)</f>
        <v>Needs Improvement</v>
      </c>
      <c r="J100" s="9">
        <f>IFERROR(G100*VLOOKUP(H100,Lookup_Performance!$A$2:$D$6,4,TRUE),0)</f>
        <v>0</v>
      </c>
      <c r="K100" t="s">
        <v>289</v>
      </c>
    </row>
    <row r="101" spans="1:11" x14ac:dyDescent="0.25">
      <c r="A101" t="s">
        <v>116</v>
      </c>
      <c r="B101" s="2" t="s">
        <v>260</v>
      </c>
      <c r="C101" t="s">
        <v>10</v>
      </c>
      <c r="D101" t="str">
        <f>VLOOKUP(Table1[[#This Row],[Dept Code]],Lookup_Departments!$A$1:$B$7,2,0)</f>
        <v>Marketing</v>
      </c>
      <c r="E101" s="5">
        <v>42074</v>
      </c>
      <c r="F101" s="6">
        <f t="shared" ca="1" si="3"/>
        <v>11</v>
      </c>
      <c r="G101" s="7">
        <v>101750</v>
      </c>
      <c r="H101" s="6">
        <v>84</v>
      </c>
      <c r="I101" t="str">
        <f>VLOOKUP(H101,Lookup_Performance!$A$2:$D$6,3,TRUE)</f>
        <v>Achieving</v>
      </c>
      <c r="J101" s="9">
        <f>IFERROR(G101*VLOOKUP(H101,Lookup_Performance!$A$2:$D$6,4,TRUE),0)</f>
        <v>5087.5</v>
      </c>
      <c r="K101" t="s">
        <v>290</v>
      </c>
    </row>
    <row r="102" spans="1:11" x14ac:dyDescent="0.25">
      <c r="A102" t="s">
        <v>117</v>
      </c>
      <c r="B102" s="2" t="s">
        <v>261</v>
      </c>
      <c r="C102" t="s">
        <v>10</v>
      </c>
      <c r="D102" t="str">
        <f>VLOOKUP(Table1[[#This Row],[Dept Code]],Lookup_Departments!$A$1:$B$7,2,0)</f>
        <v>Marketing</v>
      </c>
      <c r="E102" s="5">
        <v>42785</v>
      </c>
      <c r="F102" s="6">
        <f t="shared" ca="1" si="3"/>
        <v>9</v>
      </c>
      <c r="G102" s="7">
        <v>82992</v>
      </c>
      <c r="H102" s="6">
        <v>79</v>
      </c>
      <c r="I102" t="str">
        <f>VLOOKUP(H102,Lookup_Performance!$A$2:$D$6,3,TRUE)</f>
        <v>Achieving</v>
      </c>
      <c r="J102" s="9">
        <f>IFERROR(G102*VLOOKUP(H102,Lookup_Performance!$A$2:$D$6,4,TRUE),0)</f>
        <v>4149.6000000000004</v>
      </c>
      <c r="K102" t="s">
        <v>289</v>
      </c>
    </row>
    <row r="103" spans="1:11" x14ac:dyDescent="0.25">
      <c r="A103" t="s">
        <v>118</v>
      </c>
      <c r="B103" s="2" t="s">
        <v>262</v>
      </c>
      <c r="C103" t="s">
        <v>8</v>
      </c>
      <c r="D103" t="str">
        <f>VLOOKUP(Table1[[#This Row],[Dept Code]],Lookup_Departments!$A$1:$B$7,2,0)</f>
        <v>Information Technology</v>
      </c>
      <c r="E103" s="5">
        <v>45055</v>
      </c>
      <c r="F103" s="6">
        <f t="shared" ca="1" si="3"/>
        <v>3</v>
      </c>
      <c r="G103" s="7">
        <v>49942</v>
      </c>
      <c r="H103" s="6">
        <v>51</v>
      </c>
      <c r="I103" t="str">
        <f>VLOOKUP(H103,Lookup_Performance!$A$2:$D$6,3,TRUE)</f>
        <v>Developing</v>
      </c>
      <c r="J103" s="9">
        <f>IFERROR(G103*VLOOKUP(H103,Lookup_Performance!$A$2:$D$6,4,TRUE),0)</f>
        <v>998.84</v>
      </c>
      <c r="K103" t="s">
        <v>289</v>
      </c>
    </row>
    <row r="104" spans="1:11" x14ac:dyDescent="0.25">
      <c r="A104" t="s">
        <v>119</v>
      </c>
      <c r="B104" s="2" t="s">
        <v>263</v>
      </c>
      <c r="C104" t="s">
        <v>17</v>
      </c>
      <c r="D104" t="str">
        <f>VLOOKUP(Table1[[#This Row],[Dept Code]],Lookup_Departments!$A$1:$B$7,2,0)</f>
        <v>Operations</v>
      </c>
      <c r="E104" s="5">
        <v>43122</v>
      </c>
      <c r="F104" s="6">
        <f t="shared" ca="1" si="3"/>
        <v>8</v>
      </c>
      <c r="G104" s="7">
        <v>89060</v>
      </c>
      <c r="H104" s="6">
        <v>58</v>
      </c>
      <c r="I104" t="str">
        <f>VLOOKUP(H104,Lookup_Performance!$A$2:$D$6,3,TRUE)</f>
        <v>Developing</v>
      </c>
      <c r="J104" s="9">
        <f>IFERROR(G104*VLOOKUP(H104,Lookup_Performance!$A$2:$D$6,4,TRUE),0)</f>
        <v>1781.2</v>
      </c>
      <c r="K104" t="s">
        <v>289</v>
      </c>
    </row>
    <row r="105" spans="1:11" x14ac:dyDescent="0.25">
      <c r="A105" t="s">
        <v>120</v>
      </c>
      <c r="B105" s="2" t="s">
        <v>244</v>
      </c>
      <c r="C105" t="s">
        <v>8</v>
      </c>
      <c r="D105" t="str">
        <f>VLOOKUP(Table1[[#This Row],[Dept Code]],Lookup_Departments!$A$1:$B$7,2,0)</f>
        <v>Information Technology</v>
      </c>
      <c r="E105" s="5">
        <v>43879</v>
      </c>
      <c r="F105" s="6">
        <f t="shared" ca="1" si="3"/>
        <v>6</v>
      </c>
      <c r="G105" s="7">
        <v>53786</v>
      </c>
      <c r="H105" s="6">
        <v>98</v>
      </c>
      <c r="I105" t="str">
        <f>VLOOKUP(H105,Lookup_Performance!$A$2:$D$6,3,TRUE)</f>
        <v>Outstanding</v>
      </c>
      <c r="J105" s="9">
        <f>IFERROR(G105*VLOOKUP(H105,Lookup_Performance!$A$2:$D$6,4,TRUE),0)</f>
        <v>6454.32</v>
      </c>
      <c r="K105" t="s">
        <v>289</v>
      </c>
    </row>
    <row r="106" spans="1:11" x14ac:dyDescent="0.25">
      <c r="A106" t="s">
        <v>121</v>
      </c>
      <c r="B106" s="2" t="s">
        <v>190</v>
      </c>
      <c r="C106" t="s">
        <v>17</v>
      </c>
      <c r="D106" t="str">
        <f>VLOOKUP(Table1[[#This Row],[Dept Code]],Lookup_Departments!$A$1:$B$7,2,0)</f>
        <v>Operations</v>
      </c>
      <c r="E106" s="5">
        <v>42512</v>
      </c>
      <c r="F106" s="6">
        <f t="shared" ca="1" si="3"/>
        <v>10</v>
      </c>
      <c r="G106" s="7">
        <v>81167</v>
      </c>
      <c r="H106" s="6">
        <v>70</v>
      </c>
      <c r="I106" t="str">
        <f>VLOOKUP(H106,Lookup_Performance!$A$2:$D$6,3,TRUE)</f>
        <v>Achieving</v>
      </c>
      <c r="J106" s="9">
        <f>IFERROR(G106*VLOOKUP(H106,Lookup_Performance!$A$2:$D$6,4,TRUE),0)</f>
        <v>4058.3500000000004</v>
      </c>
      <c r="K106" t="s">
        <v>289</v>
      </c>
    </row>
    <row r="107" spans="1:11" x14ac:dyDescent="0.25">
      <c r="A107" t="s">
        <v>122</v>
      </c>
      <c r="B107" s="2" t="s">
        <v>264</v>
      </c>
      <c r="C107" t="s">
        <v>10</v>
      </c>
      <c r="D107" t="str">
        <f>VLOOKUP(Table1[[#This Row],[Dept Code]],Lookup_Departments!$A$1:$B$7,2,0)</f>
        <v>Marketing</v>
      </c>
      <c r="E107" s="5">
        <v>44349</v>
      </c>
      <c r="F107" s="6">
        <f t="shared" ca="1" si="3"/>
        <v>5</v>
      </c>
      <c r="G107" s="7">
        <v>66688</v>
      </c>
      <c r="H107" s="6">
        <v>40</v>
      </c>
      <c r="I107" t="str">
        <f>VLOOKUP(H107,Lookup_Performance!$A$2:$D$6,3,TRUE)</f>
        <v>Needs Improvement</v>
      </c>
      <c r="J107" s="9">
        <f>IFERROR(G107*VLOOKUP(H107,Lookup_Performance!$A$2:$D$6,4,TRUE),0)</f>
        <v>0</v>
      </c>
      <c r="K107" t="s">
        <v>290</v>
      </c>
    </row>
    <row r="108" spans="1:11" x14ac:dyDescent="0.25">
      <c r="A108" t="s">
        <v>123</v>
      </c>
      <c r="B108" s="2" t="s">
        <v>265</v>
      </c>
      <c r="C108" t="s">
        <v>8</v>
      </c>
      <c r="D108" t="str">
        <f>VLOOKUP(Table1[[#This Row],[Dept Code]],Lookup_Departments!$A$1:$B$7,2,0)</f>
        <v>Information Technology</v>
      </c>
      <c r="E108" s="5">
        <v>44394</v>
      </c>
      <c r="F108" s="6">
        <f t="shared" ca="1" si="3"/>
        <v>4</v>
      </c>
      <c r="G108" s="7">
        <v>91672</v>
      </c>
      <c r="H108" s="6">
        <v>88</v>
      </c>
      <c r="I108" t="str">
        <f>VLOOKUP(H108,Lookup_Performance!$A$2:$D$6,3,TRUE)</f>
        <v>Exceeding</v>
      </c>
      <c r="J108" s="9">
        <f>IFERROR(G108*VLOOKUP(H108,Lookup_Performance!$A$2:$D$6,4,TRUE),0)</f>
        <v>7333.76</v>
      </c>
      <c r="K108" t="s">
        <v>289</v>
      </c>
    </row>
    <row r="109" spans="1:11" x14ac:dyDescent="0.25">
      <c r="A109" t="s">
        <v>124</v>
      </c>
      <c r="B109" s="2" t="s">
        <v>266</v>
      </c>
      <c r="C109" t="s">
        <v>50</v>
      </c>
      <c r="D109" t="str">
        <f>VLOOKUP(Table1[[#This Row],[Dept Code]],Lookup_Departments!$A$1:$B$7,2,0)</f>
        <v>Human Resources</v>
      </c>
      <c r="E109" s="5">
        <v>42687</v>
      </c>
      <c r="F109" s="6">
        <f t="shared" ca="1" si="3"/>
        <v>9</v>
      </c>
      <c r="G109" s="7">
        <v>77737</v>
      </c>
      <c r="H109" s="6">
        <v>77</v>
      </c>
      <c r="I109" t="str">
        <f>VLOOKUP(H109,Lookup_Performance!$A$2:$D$6,3,TRUE)</f>
        <v>Achieving</v>
      </c>
      <c r="J109" s="9">
        <f>IFERROR(G109*VLOOKUP(H109,Lookup_Performance!$A$2:$D$6,4,TRUE),0)</f>
        <v>3886.8500000000004</v>
      </c>
      <c r="K109" t="s">
        <v>289</v>
      </c>
    </row>
    <row r="110" spans="1:11" x14ac:dyDescent="0.25">
      <c r="A110" t="s">
        <v>125</v>
      </c>
      <c r="B110" s="2" t="s">
        <v>217</v>
      </c>
      <c r="C110" t="s">
        <v>23</v>
      </c>
      <c r="D110" t="str">
        <f>VLOOKUP(Table1[[#This Row],[Dept Code]],Lookup_Departments!$A$1:$B$7,2,0)</f>
        <v>Sales</v>
      </c>
      <c r="E110" s="5">
        <v>43513</v>
      </c>
      <c r="F110" s="6">
        <f t="shared" ca="1" si="3"/>
        <v>7</v>
      </c>
      <c r="G110" s="7">
        <v>95686</v>
      </c>
      <c r="H110" s="6">
        <v>91</v>
      </c>
      <c r="I110" t="str">
        <f>VLOOKUP(H110,Lookup_Performance!$A$2:$D$6,3,TRUE)</f>
        <v>Exceeding</v>
      </c>
      <c r="J110" s="9">
        <f>IFERROR(G110*VLOOKUP(H110,Lookup_Performance!$A$2:$D$6,4,TRUE),0)</f>
        <v>7654.88</v>
      </c>
      <c r="K110" t="s">
        <v>289</v>
      </c>
    </row>
    <row r="111" spans="1:11" x14ac:dyDescent="0.25">
      <c r="A111" t="s">
        <v>126</v>
      </c>
      <c r="B111" s="2" t="s">
        <v>192</v>
      </c>
      <c r="C111" t="s">
        <v>23</v>
      </c>
      <c r="D111" t="str">
        <f>VLOOKUP(Table1[[#This Row],[Dept Code]],Lookup_Departments!$A$1:$B$7,2,0)</f>
        <v>Sales</v>
      </c>
      <c r="E111" s="5">
        <v>42625</v>
      </c>
      <c r="F111" s="6">
        <f t="shared" ca="1" si="3"/>
        <v>9</v>
      </c>
      <c r="G111" s="7">
        <v>114681</v>
      </c>
      <c r="H111" s="6">
        <v>36</v>
      </c>
      <c r="I111" t="str">
        <f>VLOOKUP(H111,Lookup_Performance!$A$2:$D$6,3,TRUE)</f>
        <v>Needs Improvement</v>
      </c>
      <c r="J111" s="9">
        <f>IFERROR(G111*VLOOKUP(H111,Lookup_Performance!$A$2:$D$6,4,TRUE),0)</f>
        <v>0</v>
      </c>
      <c r="K111" t="s">
        <v>289</v>
      </c>
    </row>
    <row r="112" spans="1:11" x14ac:dyDescent="0.25">
      <c r="A112" t="s">
        <v>127</v>
      </c>
      <c r="B112" s="2" t="s">
        <v>238</v>
      </c>
      <c r="C112" t="s">
        <v>17</v>
      </c>
      <c r="D112" t="str">
        <f>VLOOKUP(Table1[[#This Row],[Dept Code]],Lookup_Departments!$A$1:$B$7,2,0)</f>
        <v>Operations</v>
      </c>
      <c r="E112" s="5">
        <v>44421</v>
      </c>
      <c r="F112" s="6">
        <f t="shared" ca="1" si="3"/>
        <v>4</v>
      </c>
      <c r="G112" s="7">
        <v>109121</v>
      </c>
      <c r="H112" s="6">
        <v>72</v>
      </c>
      <c r="I112" t="str">
        <f>VLOOKUP(H112,Lookup_Performance!$A$2:$D$6,3,TRUE)</f>
        <v>Achieving</v>
      </c>
      <c r="J112" s="9">
        <f>IFERROR(G112*VLOOKUP(H112,Lookup_Performance!$A$2:$D$6,4,TRUE),0)</f>
        <v>5456.05</v>
      </c>
      <c r="K112" t="s">
        <v>289</v>
      </c>
    </row>
    <row r="113" spans="1:11" x14ac:dyDescent="0.25">
      <c r="A113" t="s">
        <v>128</v>
      </c>
      <c r="B113" s="2" t="s">
        <v>267</v>
      </c>
      <c r="C113" t="s">
        <v>10</v>
      </c>
      <c r="D113" t="str">
        <f>VLOOKUP(Table1[[#This Row],[Dept Code]],Lookup_Departments!$A$1:$B$7,2,0)</f>
        <v>Marketing</v>
      </c>
      <c r="E113" s="5">
        <v>43996</v>
      </c>
      <c r="F113" s="6">
        <f t="shared" ca="1" si="3"/>
        <v>6</v>
      </c>
      <c r="G113" s="7">
        <v>112791</v>
      </c>
      <c r="H113" s="6">
        <v>87</v>
      </c>
      <c r="I113" t="str">
        <f>VLOOKUP(H113,Lookup_Performance!$A$2:$D$6,3,TRUE)</f>
        <v>Exceeding</v>
      </c>
      <c r="J113" s="9">
        <f>IFERROR(G113*VLOOKUP(H113,Lookup_Performance!$A$2:$D$6,4,TRUE),0)</f>
        <v>9023.2800000000007</v>
      </c>
      <c r="K113" t="s">
        <v>289</v>
      </c>
    </row>
    <row r="114" spans="1:11" x14ac:dyDescent="0.25">
      <c r="A114" t="s">
        <v>129</v>
      </c>
      <c r="B114" s="2" t="s">
        <v>268</v>
      </c>
      <c r="C114" t="s">
        <v>8</v>
      </c>
      <c r="D114" t="str">
        <f>VLOOKUP(Table1[[#This Row],[Dept Code]],Lookup_Departments!$A$1:$B$7,2,0)</f>
        <v>Information Technology</v>
      </c>
      <c r="E114" s="5">
        <v>44747</v>
      </c>
      <c r="F114" s="6">
        <f t="shared" ca="1" si="3"/>
        <v>4</v>
      </c>
      <c r="G114" s="7">
        <v>118008</v>
      </c>
      <c r="H114" s="6">
        <v>71</v>
      </c>
      <c r="I114" t="str">
        <f>VLOOKUP(H114,Lookup_Performance!$A$2:$D$6,3,TRUE)</f>
        <v>Achieving</v>
      </c>
      <c r="J114" s="9">
        <f>IFERROR(G114*VLOOKUP(H114,Lookup_Performance!$A$2:$D$6,4,TRUE),0)</f>
        <v>5900.4000000000005</v>
      </c>
      <c r="K114" t="s">
        <v>289</v>
      </c>
    </row>
    <row r="115" spans="1:11" x14ac:dyDescent="0.25">
      <c r="A115" t="s">
        <v>130</v>
      </c>
      <c r="B115" s="2" t="s">
        <v>257</v>
      </c>
      <c r="C115" t="s">
        <v>8</v>
      </c>
      <c r="D115" t="str">
        <f>VLOOKUP(Table1[[#This Row],[Dept Code]],Lookup_Departments!$A$1:$B$7,2,0)</f>
        <v>Information Technology</v>
      </c>
      <c r="E115" s="5">
        <v>42561</v>
      </c>
      <c r="F115" s="6">
        <f t="shared" ca="1" si="3"/>
        <v>9</v>
      </c>
      <c r="G115" s="7">
        <v>74370</v>
      </c>
      <c r="H115" s="6">
        <v>82</v>
      </c>
      <c r="I115" t="str">
        <f>VLOOKUP(H115,Lookup_Performance!$A$2:$D$6,3,TRUE)</f>
        <v>Achieving</v>
      </c>
      <c r="J115" s="9">
        <f>IFERROR(G115*VLOOKUP(H115,Lookup_Performance!$A$2:$D$6,4,TRUE),0)</f>
        <v>3718.5</v>
      </c>
      <c r="K115" t="s">
        <v>289</v>
      </c>
    </row>
    <row r="116" spans="1:11" x14ac:dyDescent="0.25">
      <c r="A116" t="s">
        <v>131</v>
      </c>
      <c r="B116" s="2" t="s">
        <v>269</v>
      </c>
      <c r="C116" t="s">
        <v>8</v>
      </c>
      <c r="D116" t="str">
        <f>VLOOKUP(Table1[[#This Row],[Dept Code]],Lookup_Departments!$A$1:$B$7,2,0)</f>
        <v>Information Technology</v>
      </c>
      <c r="E116" s="5">
        <v>44674</v>
      </c>
      <c r="F116" s="6">
        <f t="shared" ca="1" si="3"/>
        <v>4</v>
      </c>
      <c r="G116" s="7">
        <v>77819</v>
      </c>
      <c r="H116" s="6">
        <v>79</v>
      </c>
      <c r="I116" t="str">
        <f>VLOOKUP(H116,Lookup_Performance!$A$2:$D$6,3,TRUE)</f>
        <v>Achieving</v>
      </c>
      <c r="J116" s="9">
        <f>IFERROR(G116*VLOOKUP(H116,Lookup_Performance!$A$2:$D$6,4,TRUE),0)</f>
        <v>3890.9500000000003</v>
      </c>
      <c r="K116" t="s">
        <v>289</v>
      </c>
    </row>
    <row r="117" spans="1:11" x14ac:dyDescent="0.25">
      <c r="A117" t="s">
        <v>132</v>
      </c>
      <c r="B117" s="2" t="s">
        <v>197</v>
      </c>
      <c r="C117" t="s">
        <v>10</v>
      </c>
      <c r="D117" t="str">
        <f>VLOOKUP(Table1[[#This Row],[Dept Code]],Lookup_Departments!$A$1:$B$7,2,0)</f>
        <v>Marketing</v>
      </c>
      <c r="E117" s="5">
        <v>42865</v>
      </c>
      <c r="F117" s="6">
        <f t="shared" ca="1" si="3"/>
        <v>9</v>
      </c>
      <c r="G117" s="7">
        <v>48748</v>
      </c>
      <c r="H117" s="6">
        <v>83</v>
      </c>
      <c r="I117" t="str">
        <f>VLOOKUP(H117,Lookup_Performance!$A$2:$D$6,3,TRUE)</f>
        <v>Achieving</v>
      </c>
      <c r="J117" s="9">
        <f>IFERROR(G117*VLOOKUP(H117,Lookup_Performance!$A$2:$D$6,4,TRUE),0)</f>
        <v>2437.4</v>
      </c>
      <c r="K117" t="s">
        <v>289</v>
      </c>
    </row>
    <row r="118" spans="1:11" x14ac:dyDescent="0.25">
      <c r="A118" t="s">
        <v>133</v>
      </c>
      <c r="B118" s="2" t="s">
        <v>270</v>
      </c>
      <c r="C118" t="s">
        <v>17</v>
      </c>
      <c r="D118" t="str">
        <f>VLOOKUP(Table1[[#This Row],[Dept Code]],Lookup_Departments!$A$1:$B$7,2,0)</f>
        <v>Operations</v>
      </c>
      <c r="E118" s="5">
        <v>43971</v>
      </c>
      <c r="F118" s="6">
        <f t="shared" ca="1" si="3"/>
        <v>6</v>
      </c>
      <c r="G118" s="7">
        <v>101997</v>
      </c>
      <c r="H118" s="6">
        <v>38</v>
      </c>
      <c r="I118" t="str">
        <f>VLOOKUP(H118,Lookup_Performance!$A$2:$D$6,3,TRUE)</f>
        <v>Needs Improvement</v>
      </c>
      <c r="J118" s="9">
        <f>IFERROR(G118*VLOOKUP(H118,Lookup_Performance!$A$2:$D$6,4,TRUE),0)</f>
        <v>0</v>
      </c>
      <c r="K118" t="s">
        <v>291</v>
      </c>
    </row>
    <row r="119" spans="1:11" x14ac:dyDescent="0.25">
      <c r="A119" t="s">
        <v>134</v>
      </c>
      <c r="B119" s="2" t="s">
        <v>271</v>
      </c>
      <c r="C119" t="s">
        <v>50</v>
      </c>
      <c r="D119" t="str">
        <f>VLOOKUP(Table1[[#This Row],[Dept Code]],Lookup_Departments!$A$1:$B$7,2,0)</f>
        <v>Human Resources</v>
      </c>
      <c r="E119" s="5">
        <v>45036</v>
      </c>
      <c r="F119" s="6">
        <f t="shared" ca="1" si="3"/>
        <v>3</v>
      </c>
      <c r="G119" s="7">
        <v>115260</v>
      </c>
      <c r="H119" s="6">
        <v>77</v>
      </c>
      <c r="I119" t="str">
        <f>VLOOKUP(H119,Lookup_Performance!$A$2:$D$6,3,TRUE)</f>
        <v>Achieving</v>
      </c>
      <c r="J119" s="9">
        <f>IFERROR(G119*VLOOKUP(H119,Lookup_Performance!$A$2:$D$6,4,TRUE),0)</f>
        <v>5763</v>
      </c>
      <c r="K119" t="s">
        <v>289</v>
      </c>
    </row>
    <row r="120" spans="1:11" x14ac:dyDescent="0.25">
      <c r="A120" t="s">
        <v>135</v>
      </c>
      <c r="B120" s="2" t="s">
        <v>272</v>
      </c>
      <c r="C120" t="s">
        <v>23</v>
      </c>
      <c r="D120" t="str">
        <f>VLOOKUP(Table1[[#This Row],[Dept Code]],Lookup_Departments!$A$1:$B$7,2,0)</f>
        <v>Sales</v>
      </c>
      <c r="E120" s="5">
        <v>44500</v>
      </c>
      <c r="F120" s="6">
        <f t="shared" ca="1" si="3"/>
        <v>4</v>
      </c>
      <c r="G120" s="7">
        <v>79271</v>
      </c>
      <c r="H120" s="6">
        <v>49</v>
      </c>
      <c r="I120" t="str">
        <f>VLOOKUP(H120,Lookup_Performance!$A$2:$D$6,3,TRUE)</f>
        <v>Needs Improvement</v>
      </c>
      <c r="J120" s="9">
        <f>IFERROR(G120*VLOOKUP(H120,Lookup_Performance!$A$2:$D$6,4,TRUE),0)</f>
        <v>0</v>
      </c>
      <c r="K120" t="s">
        <v>289</v>
      </c>
    </row>
    <row r="121" spans="1:11" x14ac:dyDescent="0.25">
      <c r="A121" t="s">
        <v>136</v>
      </c>
      <c r="B121" s="2" t="s">
        <v>215</v>
      </c>
      <c r="C121" t="s">
        <v>8</v>
      </c>
      <c r="D121" t="str">
        <f>VLOOKUP(Table1[[#This Row],[Dept Code]],Lookup_Departments!$A$1:$B$7,2,0)</f>
        <v>Information Technology</v>
      </c>
      <c r="E121" s="5">
        <v>44493</v>
      </c>
      <c r="F121" s="6">
        <f t="shared" ca="1" si="3"/>
        <v>4</v>
      </c>
      <c r="G121" s="7">
        <v>79271</v>
      </c>
      <c r="H121" s="6">
        <v>69</v>
      </c>
      <c r="I121" t="str">
        <f>VLOOKUP(H121,Lookup_Performance!$A$2:$D$6,3,TRUE)</f>
        <v>Developing</v>
      </c>
      <c r="J121" s="9">
        <f>IFERROR(G121*VLOOKUP(H121,Lookup_Performance!$A$2:$D$6,4,TRUE),0)</f>
        <v>1585.42</v>
      </c>
      <c r="K121" t="s">
        <v>290</v>
      </c>
    </row>
    <row r="122" spans="1:11" x14ac:dyDescent="0.25">
      <c r="A122" t="s">
        <v>137</v>
      </c>
      <c r="B122" s="2" t="s">
        <v>273</v>
      </c>
      <c r="C122" t="s">
        <v>23</v>
      </c>
      <c r="D122" t="str">
        <f>VLOOKUP(Table1[[#This Row],[Dept Code]],Lookup_Departments!$A$1:$B$7,2,0)</f>
        <v>Sales</v>
      </c>
      <c r="E122" s="5">
        <v>42956</v>
      </c>
      <c r="F122" s="6">
        <f t="shared" ca="1" si="3"/>
        <v>8</v>
      </c>
      <c r="G122" s="7">
        <v>79271</v>
      </c>
      <c r="H122" s="6">
        <v>76</v>
      </c>
      <c r="I122" t="str">
        <f>VLOOKUP(H122,Lookup_Performance!$A$2:$D$6,3,TRUE)</f>
        <v>Achieving</v>
      </c>
      <c r="J122" s="9">
        <f>IFERROR(G122*VLOOKUP(H122,Lookup_Performance!$A$2:$D$6,4,TRUE),0)</f>
        <v>3963.55</v>
      </c>
      <c r="K122" t="s">
        <v>289</v>
      </c>
    </row>
    <row r="123" spans="1:11" x14ac:dyDescent="0.25">
      <c r="A123" t="s">
        <v>138</v>
      </c>
      <c r="B123" s="2" t="s">
        <v>274</v>
      </c>
      <c r="C123" t="s">
        <v>17</v>
      </c>
      <c r="D123" t="str">
        <f>VLOOKUP(Table1[[#This Row],[Dept Code]],Lookup_Departments!$A$1:$B$7,2,0)</f>
        <v>Operations</v>
      </c>
      <c r="E123" s="5">
        <v>44930</v>
      </c>
      <c r="F123" s="6">
        <f t="shared" ca="1" si="3"/>
        <v>3</v>
      </c>
      <c r="G123" s="7">
        <v>60623</v>
      </c>
      <c r="H123" s="6">
        <v>78</v>
      </c>
      <c r="I123" t="str">
        <f>VLOOKUP(H123,Lookup_Performance!$A$2:$D$6,3,TRUE)</f>
        <v>Achieving</v>
      </c>
      <c r="J123" s="9">
        <f>IFERROR(G123*VLOOKUP(H123,Lookup_Performance!$A$2:$D$6,4,TRUE),0)</f>
        <v>3031.15</v>
      </c>
      <c r="K123" t="s">
        <v>289</v>
      </c>
    </row>
    <row r="124" spans="1:11" x14ac:dyDescent="0.25">
      <c r="A124" t="s">
        <v>139</v>
      </c>
      <c r="B124" s="2" t="s">
        <v>227</v>
      </c>
      <c r="C124" t="s">
        <v>50</v>
      </c>
      <c r="D124" t="str">
        <f>VLOOKUP(Table1[[#This Row],[Dept Code]],Lookup_Departments!$A$1:$B$7,2,0)</f>
        <v>Human Resources</v>
      </c>
      <c r="E124" s="5">
        <v>44053</v>
      </c>
      <c r="F124" s="6">
        <f t="shared" ca="1" si="3"/>
        <v>5</v>
      </c>
      <c r="G124" s="7">
        <v>68092</v>
      </c>
      <c r="H124" s="6">
        <v>93</v>
      </c>
      <c r="I124" t="str">
        <f>VLOOKUP(H124,Lookup_Performance!$A$2:$D$6,3,TRUE)</f>
        <v>Exceeding</v>
      </c>
      <c r="J124" s="9">
        <f>IFERROR(G124*VLOOKUP(H124,Lookup_Performance!$A$2:$D$6,4,TRUE),0)</f>
        <v>5447.36</v>
      </c>
      <c r="K124" t="s">
        <v>289</v>
      </c>
    </row>
    <row r="125" spans="1:11" x14ac:dyDescent="0.25">
      <c r="A125" t="s">
        <v>140</v>
      </c>
      <c r="B125" s="2" t="s">
        <v>208</v>
      </c>
      <c r="C125" t="s">
        <v>10</v>
      </c>
      <c r="D125" t="str">
        <f>VLOOKUP(Table1[[#This Row],[Dept Code]],Lookup_Departments!$A$1:$B$7,2,0)</f>
        <v>Marketing</v>
      </c>
      <c r="E125" s="5">
        <v>44653</v>
      </c>
      <c r="F125" s="6">
        <f t="shared" ca="1" si="3"/>
        <v>4</v>
      </c>
      <c r="G125" s="7">
        <v>88155</v>
      </c>
      <c r="H125" s="6">
        <v>68</v>
      </c>
      <c r="I125" t="str">
        <f>VLOOKUP(H125,Lookup_Performance!$A$2:$D$6,3,TRUE)</f>
        <v>Developing</v>
      </c>
      <c r="J125" s="9">
        <f>IFERROR(G125*VLOOKUP(H125,Lookup_Performance!$A$2:$D$6,4,TRUE),0)</f>
        <v>1763.1000000000001</v>
      </c>
      <c r="K125" t="s">
        <v>289</v>
      </c>
    </row>
    <row r="126" spans="1:11" x14ac:dyDescent="0.25">
      <c r="A126" t="s">
        <v>141</v>
      </c>
      <c r="B126" s="2" t="s">
        <v>275</v>
      </c>
      <c r="C126" t="s">
        <v>10</v>
      </c>
      <c r="D126" t="str">
        <f>VLOOKUP(Table1[[#This Row],[Dept Code]],Lookup_Departments!$A$1:$B$7,2,0)</f>
        <v>Marketing</v>
      </c>
      <c r="E126" s="5">
        <v>43183</v>
      </c>
      <c r="F126" s="6">
        <f t="shared" ca="1" si="3"/>
        <v>8</v>
      </c>
      <c r="G126" s="7">
        <v>107903</v>
      </c>
      <c r="H126" s="6">
        <v>42</v>
      </c>
      <c r="I126" t="str">
        <f>VLOOKUP(H126,Lookup_Performance!$A$2:$D$6,3,TRUE)</f>
        <v>Needs Improvement</v>
      </c>
      <c r="J126" s="9">
        <f>IFERROR(G126*VLOOKUP(H126,Lookup_Performance!$A$2:$D$6,4,TRUE),0)</f>
        <v>0</v>
      </c>
      <c r="K126" t="s">
        <v>289</v>
      </c>
    </row>
    <row r="127" spans="1:11" x14ac:dyDescent="0.25">
      <c r="A127" t="s">
        <v>142</v>
      </c>
      <c r="B127" s="2" t="s">
        <v>264</v>
      </c>
      <c r="C127" t="s">
        <v>8</v>
      </c>
      <c r="D127" t="str">
        <f>VLOOKUP(Table1[[#This Row],[Dept Code]],Lookup_Departments!$A$1:$B$7,2,0)</f>
        <v>Information Technology</v>
      </c>
      <c r="E127" s="5">
        <v>43305</v>
      </c>
      <c r="F127" s="6">
        <f t="shared" ca="1" si="3"/>
        <v>7</v>
      </c>
      <c r="G127" s="7">
        <v>62818</v>
      </c>
      <c r="H127" s="6">
        <v>34</v>
      </c>
      <c r="I127" t="str">
        <f>VLOOKUP(H127,Lookup_Performance!$A$2:$D$6,3,TRUE)</f>
        <v>Needs Improvement</v>
      </c>
      <c r="J127" s="9">
        <f>IFERROR(G127*VLOOKUP(H127,Lookup_Performance!$A$2:$D$6,4,TRUE),0)</f>
        <v>0</v>
      </c>
      <c r="K127" t="s">
        <v>289</v>
      </c>
    </row>
    <row r="128" spans="1:11" x14ac:dyDescent="0.25">
      <c r="A128" t="s">
        <v>143</v>
      </c>
      <c r="B128" s="2" t="s">
        <v>252</v>
      </c>
      <c r="C128" t="s">
        <v>50</v>
      </c>
      <c r="D128" t="str">
        <f>VLOOKUP(Table1[[#This Row],[Dept Code]],Lookup_Departments!$A$1:$B$7,2,0)</f>
        <v>Human Resources</v>
      </c>
      <c r="E128" s="5">
        <v>43301</v>
      </c>
      <c r="F128" s="6">
        <f t="shared" ca="1" si="3"/>
        <v>7</v>
      </c>
      <c r="G128" s="7">
        <v>85151</v>
      </c>
      <c r="H128" s="6">
        <v>35</v>
      </c>
      <c r="I128" t="str">
        <f>VLOOKUP(H128,Lookup_Performance!$A$2:$D$6,3,TRUE)</f>
        <v>Needs Improvement</v>
      </c>
      <c r="J128" s="9">
        <f>IFERROR(G128*VLOOKUP(H128,Lookup_Performance!$A$2:$D$6,4,TRUE),0)</f>
        <v>0</v>
      </c>
      <c r="K128" t="s">
        <v>289</v>
      </c>
    </row>
    <row r="129" spans="1:11" x14ac:dyDescent="0.25">
      <c r="A129" t="s">
        <v>144</v>
      </c>
      <c r="B129" s="2" t="s">
        <v>228</v>
      </c>
      <c r="C129" t="s">
        <v>13</v>
      </c>
      <c r="D129" t="str">
        <f>VLOOKUP(Table1[[#This Row],[Dept Code]],Lookup_Departments!$A$1:$B$7,2,0)</f>
        <v>Finance</v>
      </c>
      <c r="E129" s="5">
        <v>42433</v>
      </c>
      <c r="F129" s="6">
        <f t="shared" ca="1" si="3"/>
        <v>10</v>
      </c>
      <c r="G129" s="7">
        <v>46390</v>
      </c>
      <c r="H129" s="6">
        <v>95</v>
      </c>
      <c r="I129" t="str">
        <f>VLOOKUP(H129,Lookup_Performance!$A$2:$D$6,3,TRUE)</f>
        <v>Outstanding</v>
      </c>
      <c r="J129" s="9">
        <f>IFERROR(G129*VLOOKUP(H129,Lookup_Performance!$A$2:$D$6,4,TRUE),0)</f>
        <v>5566.8</v>
      </c>
      <c r="K129" t="s">
        <v>289</v>
      </c>
    </row>
    <row r="130" spans="1:11" x14ac:dyDescent="0.25">
      <c r="A130" t="s">
        <v>145</v>
      </c>
      <c r="B130" s="2" t="s">
        <v>188</v>
      </c>
      <c r="C130" t="s">
        <v>50</v>
      </c>
      <c r="D130" t="str">
        <f>VLOOKUP(Table1[[#This Row],[Dept Code]],Lookup_Departments!$A$1:$B$7,2,0)</f>
        <v>Human Resources</v>
      </c>
      <c r="E130" s="5">
        <v>44643</v>
      </c>
      <c r="F130" s="6">
        <f t="shared" ref="F130:F151" ca="1" si="4">DATEDIF(E130,TODAY(),"Y")</f>
        <v>4</v>
      </c>
      <c r="G130" s="7">
        <v>111920</v>
      </c>
      <c r="H130" s="6">
        <v>90</v>
      </c>
      <c r="I130" t="str">
        <f>VLOOKUP(H130,Lookup_Performance!$A$2:$D$6,3,TRUE)</f>
        <v>Exceeding</v>
      </c>
      <c r="J130" s="9">
        <f>IFERROR(G130*VLOOKUP(H130,Lookup_Performance!$A$2:$D$6,4,TRUE),0)</f>
        <v>8953.6</v>
      </c>
      <c r="K130" t="s">
        <v>290</v>
      </c>
    </row>
    <row r="131" spans="1:11" x14ac:dyDescent="0.25">
      <c r="A131" t="s">
        <v>146</v>
      </c>
      <c r="B131" s="2" t="s">
        <v>276</v>
      </c>
      <c r="C131" t="s">
        <v>50</v>
      </c>
      <c r="D131" t="str">
        <f>VLOOKUP(Table1[[#This Row],[Dept Code]],Lookup_Departments!$A$1:$B$7,2,0)</f>
        <v>Human Resources</v>
      </c>
      <c r="E131" s="5">
        <v>42944</v>
      </c>
      <c r="F131" s="6">
        <f t="shared" ca="1" si="4"/>
        <v>8</v>
      </c>
      <c r="G131" s="7">
        <v>115618</v>
      </c>
      <c r="H131" s="6">
        <v>42</v>
      </c>
      <c r="I131" t="str">
        <f>VLOOKUP(H131,Lookup_Performance!$A$2:$D$6,3,TRUE)</f>
        <v>Needs Improvement</v>
      </c>
      <c r="J131" s="9">
        <f>IFERROR(G131*VLOOKUP(H131,Lookup_Performance!$A$2:$D$6,4,TRUE),0)</f>
        <v>0</v>
      </c>
      <c r="K131" t="s">
        <v>289</v>
      </c>
    </row>
    <row r="132" spans="1:11" x14ac:dyDescent="0.25">
      <c r="A132" t="s">
        <v>147</v>
      </c>
      <c r="B132" s="2" t="s">
        <v>277</v>
      </c>
      <c r="C132" t="s">
        <v>23</v>
      </c>
      <c r="D132" t="str">
        <f>VLOOKUP(Table1[[#This Row],[Dept Code]],Lookup_Departments!$A$1:$B$7,2,0)</f>
        <v>Sales</v>
      </c>
      <c r="E132" s="5">
        <v>45057</v>
      </c>
      <c r="F132" s="6">
        <f t="shared" ca="1" si="4"/>
        <v>3</v>
      </c>
      <c r="G132" s="7">
        <v>110618</v>
      </c>
      <c r="H132" s="6">
        <v>88</v>
      </c>
      <c r="I132" t="str">
        <f>VLOOKUP(H132,Lookup_Performance!$A$2:$D$6,3,TRUE)</f>
        <v>Exceeding</v>
      </c>
      <c r="J132" s="9">
        <f>IFERROR(G132*VLOOKUP(H132,Lookup_Performance!$A$2:$D$6,4,TRUE),0)</f>
        <v>8849.44</v>
      </c>
      <c r="K132" t="s">
        <v>291</v>
      </c>
    </row>
    <row r="133" spans="1:11" x14ac:dyDescent="0.25">
      <c r="A133" t="s">
        <v>148</v>
      </c>
      <c r="B133" s="2" t="s">
        <v>278</v>
      </c>
      <c r="C133" t="s">
        <v>17</v>
      </c>
      <c r="D133" t="str">
        <f>VLOOKUP(Table1[[#This Row],[Dept Code]],Lookup_Departments!$A$1:$B$7,2,0)</f>
        <v>Operations</v>
      </c>
      <c r="E133" s="5">
        <v>44639</v>
      </c>
      <c r="F133" s="6">
        <f t="shared" ca="1" si="4"/>
        <v>4</v>
      </c>
      <c r="G133" s="7">
        <v>108395</v>
      </c>
      <c r="H133" s="6">
        <v>78</v>
      </c>
      <c r="I133" t="str">
        <f>VLOOKUP(H133,Lookup_Performance!$A$2:$D$6,3,TRUE)</f>
        <v>Achieving</v>
      </c>
      <c r="J133" s="9">
        <f>IFERROR(G133*VLOOKUP(H133,Lookup_Performance!$A$2:$D$6,4,TRUE),0)</f>
        <v>5419.75</v>
      </c>
      <c r="K133" t="s">
        <v>290</v>
      </c>
    </row>
    <row r="134" spans="1:11" x14ac:dyDescent="0.25">
      <c r="A134" t="s">
        <v>149</v>
      </c>
      <c r="B134" s="2" t="s">
        <v>224</v>
      </c>
      <c r="C134" t="s">
        <v>13</v>
      </c>
      <c r="D134" t="str">
        <f>VLOOKUP(Table1[[#This Row],[Dept Code]],Lookup_Departments!$A$1:$B$7,2,0)</f>
        <v>Finance</v>
      </c>
      <c r="E134" s="5">
        <v>43091</v>
      </c>
      <c r="F134" s="6">
        <f t="shared" ca="1" si="4"/>
        <v>8</v>
      </c>
      <c r="G134" s="7">
        <v>88005</v>
      </c>
      <c r="H134" s="6">
        <v>69</v>
      </c>
      <c r="I134" t="str">
        <f>VLOOKUP(H134,Lookup_Performance!$A$2:$D$6,3,TRUE)</f>
        <v>Developing</v>
      </c>
      <c r="J134" s="9">
        <f>IFERROR(G134*VLOOKUP(H134,Lookup_Performance!$A$2:$D$6,4,TRUE),0)</f>
        <v>1760.1000000000001</v>
      </c>
      <c r="K134" t="s">
        <v>289</v>
      </c>
    </row>
    <row r="135" spans="1:11" x14ac:dyDescent="0.25">
      <c r="A135" t="s">
        <v>150</v>
      </c>
      <c r="B135" s="2" t="s">
        <v>279</v>
      </c>
      <c r="C135" t="s">
        <v>10</v>
      </c>
      <c r="D135" t="str">
        <f>VLOOKUP(Table1[[#This Row],[Dept Code]],Lookup_Departments!$A$1:$B$7,2,0)</f>
        <v>Marketing</v>
      </c>
      <c r="E135" s="5">
        <v>44437</v>
      </c>
      <c r="F135" s="6">
        <f t="shared" ca="1" si="4"/>
        <v>4</v>
      </c>
      <c r="G135" s="7">
        <v>83007</v>
      </c>
      <c r="H135" s="6">
        <v>82</v>
      </c>
      <c r="I135" t="str">
        <f>VLOOKUP(H135,Lookup_Performance!$A$2:$D$6,3,TRUE)</f>
        <v>Achieving</v>
      </c>
      <c r="J135" s="9">
        <f>IFERROR(G135*VLOOKUP(H135,Lookup_Performance!$A$2:$D$6,4,TRUE),0)</f>
        <v>4150.3500000000004</v>
      </c>
      <c r="K135" t="s">
        <v>289</v>
      </c>
    </row>
    <row r="136" spans="1:11" x14ac:dyDescent="0.25">
      <c r="A136" t="s">
        <v>151</v>
      </c>
      <c r="B136" s="2" t="s">
        <v>280</v>
      </c>
      <c r="C136" t="s">
        <v>8</v>
      </c>
      <c r="D136" t="str">
        <f>VLOOKUP(Table1[[#This Row],[Dept Code]],Lookup_Departments!$A$1:$B$7,2,0)</f>
        <v>Information Technology</v>
      </c>
      <c r="E136" s="5">
        <v>43360</v>
      </c>
      <c r="F136" s="6">
        <f t="shared" ca="1" si="4"/>
        <v>7</v>
      </c>
      <c r="G136" s="7">
        <v>61547</v>
      </c>
      <c r="H136" s="6">
        <v>68</v>
      </c>
      <c r="I136" t="str">
        <f>VLOOKUP(H136,Lookup_Performance!$A$2:$D$6,3,TRUE)</f>
        <v>Developing</v>
      </c>
      <c r="J136" s="9">
        <f>IFERROR(G136*VLOOKUP(H136,Lookup_Performance!$A$2:$D$6,4,TRUE),0)</f>
        <v>1230.94</v>
      </c>
      <c r="K136" t="s">
        <v>289</v>
      </c>
    </row>
    <row r="137" spans="1:11" x14ac:dyDescent="0.25">
      <c r="A137" t="s">
        <v>152</v>
      </c>
      <c r="B137" s="2" t="s">
        <v>281</v>
      </c>
      <c r="C137" t="s">
        <v>23</v>
      </c>
      <c r="D137" t="str">
        <f>VLOOKUP(Table1[[#This Row],[Dept Code]],Lookup_Departments!$A$1:$B$7,2,0)</f>
        <v>Sales</v>
      </c>
      <c r="E137" s="5">
        <v>44375</v>
      </c>
      <c r="F137" s="6">
        <f t="shared" ca="1" si="4"/>
        <v>5</v>
      </c>
      <c r="G137" s="7">
        <v>79271</v>
      </c>
      <c r="H137" s="6">
        <v>52</v>
      </c>
      <c r="I137" t="str">
        <f>VLOOKUP(H137,Lookup_Performance!$A$2:$D$6,3,TRUE)</f>
        <v>Developing</v>
      </c>
      <c r="J137" s="9">
        <f>IFERROR(G137*VLOOKUP(H137,Lookup_Performance!$A$2:$D$6,4,TRUE),0)</f>
        <v>1585.42</v>
      </c>
      <c r="K137" t="s">
        <v>289</v>
      </c>
    </row>
    <row r="138" spans="1:11" x14ac:dyDescent="0.25">
      <c r="A138" t="s">
        <v>153</v>
      </c>
      <c r="B138" s="2" t="s">
        <v>282</v>
      </c>
      <c r="C138" t="s">
        <v>17</v>
      </c>
      <c r="D138" t="str">
        <f>VLOOKUP(Table1[[#This Row],[Dept Code]],Lookup_Departments!$A$1:$B$7,2,0)</f>
        <v>Operations</v>
      </c>
      <c r="E138" s="5">
        <v>43011</v>
      </c>
      <c r="F138" s="6">
        <f t="shared" ca="1" si="4"/>
        <v>8</v>
      </c>
      <c r="G138" s="7">
        <v>50399</v>
      </c>
      <c r="H138" s="6">
        <v>92</v>
      </c>
      <c r="I138" t="str">
        <f>VLOOKUP(H138,Lookup_Performance!$A$2:$D$6,3,TRUE)</f>
        <v>Exceeding</v>
      </c>
      <c r="J138" s="9">
        <f>IFERROR(G138*VLOOKUP(H138,Lookup_Performance!$A$2:$D$6,4,TRUE),0)</f>
        <v>4031.92</v>
      </c>
      <c r="K138" t="s">
        <v>290</v>
      </c>
    </row>
    <row r="139" spans="1:11" x14ac:dyDescent="0.25">
      <c r="A139" t="s">
        <v>154</v>
      </c>
      <c r="B139" s="2" t="s">
        <v>283</v>
      </c>
      <c r="C139" t="s">
        <v>13</v>
      </c>
      <c r="D139" t="str">
        <f>VLOOKUP(Table1[[#This Row],[Dept Code]],Lookup_Departments!$A$1:$B$7,2,0)</f>
        <v>Finance</v>
      </c>
      <c r="E139" s="5">
        <v>42299</v>
      </c>
      <c r="F139" s="6">
        <f t="shared" ca="1" si="4"/>
        <v>10</v>
      </c>
      <c r="G139" s="7">
        <v>79271</v>
      </c>
      <c r="H139" s="6">
        <v>62</v>
      </c>
      <c r="I139" t="str">
        <f>VLOOKUP(H139,Lookup_Performance!$A$2:$D$6,3,TRUE)</f>
        <v>Developing</v>
      </c>
      <c r="J139" s="9">
        <f>IFERROR(G139*VLOOKUP(H139,Lookup_Performance!$A$2:$D$6,4,TRUE),0)</f>
        <v>1585.42</v>
      </c>
      <c r="K139" t="s">
        <v>289</v>
      </c>
    </row>
    <row r="140" spans="1:11" x14ac:dyDescent="0.25">
      <c r="A140" t="s">
        <v>155</v>
      </c>
      <c r="B140" s="2" t="s">
        <v>284</v>
      </c>
      <c r="C140" t="s">
        <v>17</v>
      </c>
      <c r="D140" t="str">
        <f>VLOOKUP(Table1[[#This Row],[Dept Code]],Lookup_Departments!$A$1:$B$7,2,0)</f>
        <v>Operations</v>
      </c>
      <c r="E140" s="5">
        <v>43257</v>
      </c>
      <c r="F140" s="6">
        <f t="shared" ca="1" si="4"/>
        <v>8</v>
      </c>
      <c r="G140" s="7">
        <v>52720</v>
      </c>
      <c r="H140" s="6">
        <v>68</v>
      </c>
      <c r="I140" t="str">
        <f>VLOOKUP(H140,Lookup_Performance!$A$2:$D$6,3,TRUE)</f>
        <v>Developing</v>
      </c>
      <c r="J140" s="9">
        <f>IFERROR(G140*VLOOKUP(H140,Lookup_Performance!$A$2:$D$6,4,TRUE),0)</f>
        <v>1054.4000000000001</v>
      </c>
      <c r="K140" t="s">
        <v>289</v>
      </c>
    </row>
    <row r="141" spans="1:11" x14ac:dyDescent="0.25">
      <c r="A141" t="s">
        <v>156</v>
      </c>
      <c r="B141" s="2" t="s">
        <v>285</v>
      </c>
      <c r="C141" t="s">
        <v>17</v>
      </c>
      <c r="D141" t="str">
        <f>VLOOKUP(Table1[[#This Row],[Dept Code]],Lookup_Departments!$A$1:$B$7,2,0)</f>
        <v>Operations</v>
      </c>
      <c r="E141" s="5">
        <v>42932</v>
      </c>
      <c r="F141" s="6">
        <f t="shared" ca="1" si="4"/>
        <v>8</v>
      </c>
      <c r="G141" s="7">
        <v>65065</v>
      </c>
      <c r="H141" s="6">
        <v>98</v>
      </c>
      <c r="I141" t="str">
        <f>VLOOKUP(H141,Lookup_Performance!$A$2:$D$6,3,TRUE)</f>
        <v>Outstanding</v>
      </c>
      <c r="J141" s="9">
        <f>IFERROR(G141*VLOOKUP(H141,Lookup_Performance!$A$2:$D$6,4,TRUE),0)</f>
        <v>7807.7999999999993</v>
      </c>
      <c r="K141" t="s">
        <v>289</v>
      </c>
    </row>
    <row r="142" spans="1:11" x14ac:dyDescent="0.25">
      <c r="A142" t="s">
        <v>157</v>
      </c>
      <c r="B142" s="2" t="s">
        <v>278</v>
      </c>
      <c r="C142" t="s">
        <v>23</v>
      </c>
      <c r="D142" t="str">
        <f>VLOOKUP(Table1[[#This Row],[Dept Code]],Lookup_Departments!$A$1:$B$7,2,0)</f>
        <v>Sales</v>
      </c>
      <c r="E142" s="5">
        <v>42175</v>
      </c>
      <c r="F142" s="6">
        <f t="shared" ca="1" si="4"/>
        <v>11</v>
      </c>
      <c r="G142" s="7">
        <v>79271</v>
      </c>
      <c r="H142" s="6">
        <v>94</v>
      </c>
      <c r="I142" t="str">
        <f>VLOOKUP(H142,Lookup_Performance!$A$2:$D$6,3,TRUE)</f>
        <v>Exceeding</v>
      </c>
      <c r="J142" s="9">
        <f>IFERROR(G142*VLOOKUP(H142,Lookup_Performance!$A$2:$D$6,4,TRUE),0)</f>
        <v>6341.68</v>
      </c>
      <c r="K142" t="s">
        <v>291</v>
      </c>
    </row>
    <row r="143" spans="1:11" x14ac:dyDescent="0.25">
      <c r="A143" t="s">
        <v>158</v>
      </c>
      <c r="B143" s="2" t="s">
        <v>278</v>
      </c>
      <c r="C143" t="s">
        <v>17</v>
      </c>
      <c r="D143" t="str">
        <f>VLOOKUP(Table1[[#This Row],[Dept Code]],Lookup_Departments!$A$1:$B$7,2,0)</f>
        <v>Operations</v>
      </c>
      <c r="E143" s="5">
        <v>43609</v>
      </c>
      <c r="F143" s="6">
        <f t="shared" ca="1" si="4"/>
        <v>7</v>
      </c>
      <c r="G143" s="7">
        <v>108119</v>
      </c>
      <c r="H143" s="6">
        <v>57</v>
      </c>
      <c r="I143" t="str">
        <f>VLOOKUP(H143,Lookup_Performance!$A$2:$D$6,3,TRUE)</f>
        <v>Developing</v>
      </c>
      <c r="J143" s="9">
        <f>IFERROR(G143*VLOOKUP(H143,Lookup_Performance!$A$2:$D$6,4,TRUE),0)</f>
        <v>2162.38</v>
      </c>
      <c r="K143" t="s">
        <v>291</v>
      </c>
    </row>
    <row r="144" spans="1:11" x14ac:dyDescent="0.25">
      <c r="A144" t="s">
        <v>159</v>
      </c>
      <c r="B144" s="2" t="s">
        <v>226</v>
      </c>
      <c r="C144" t="s">
        <v>8</v>
      </c>
      <c r="D144" t="str">
        <f>VLOOKUP(Table1[[#This Row],[Dept Code]],Lookup_Departments!$A$1:$B$7,2,0)</f>
        <v>Information Technology</v>
      </c>
      <c r="E144" s="5">
        <v>43887</v>
      </c>
      <c r="F144" s="6">
        <f t="shared" ca="1" si="4"/>
        <v>6</v>
      </c>
      <c r="G144" s="7">
        <v>79271</v>
      </c>
      <c r="H144" s="6">
        <v>96</v>
      </c>
      <c r="I144" t="str">
        <f>VLOOKUP(H144,Lookup_Performance!$A$2:$D$6,3,TRUE)</f>
        <v>Outstanding</v>
      </c>
      <c r="J144" s="9">
        <f>IFERROR(G144*VLOOKUP(H144,Lookup_Performance!$A$2:$D$6,4,TRUE),0)</f>
        <v>9512.52</v>
      </c>
      <c r="K144" t="s">
        <v>289</v>
      </c>
    </row>
    <row r="145" spans="1:11" x14ac:dyDescent="0.25">
      <c r="A145" t="s">
        <v>160</v>
      </c>
      <c r="B145" s="2" t="s">
        <v>229</v>
      </c>
      <c r="C145" t="s">
        <v>50</v>
      </c>
      <c r="D145" t="str">
        <f>VLOOKUP(Table1[[#This Row],[Dept Code]],Lookup_Departments!$A$1:$B$7,2,0)</f>
        <v>Human Resources</v>
      </c>
      <c r="E145" s="5">
        <v>44991</v>
      </c>
      <c r="F145" s="6">
        <f t="shared" ca="1" si="4"/>
        <v>3</v>
      </c>
      <c r="G145" s="7">
        <v>106896</v>
      </c>
      <c r="H145" s="6">
        <v>52</v>
      </c>
      <c r="I145" t="str">
        <f>VLOOKUP(H145,Lookup_Performance!$A$2:$D$6,3,TRUE)</f>
        <v>Developing</v>
      </c>
      <c r="J145" s="9">
        <f>IFERROR(G145*VLOOKUP(H145,Lookup_Performance!$A$2:$D$6,4,TRUE),0)</f>
        <v>2137.92</v>
      </c>
      <c r="K145" t="s">
        <v>290</v>
      </c>
    </row>
    <row r="146" spans="1:11" x14ac:dyDescent="0.25">
      <c r="A146" t="s">
        <v>161</v>
      </c>
      <c r="B146" s="2" t="s">
        <v>30</v>
      </c>
      <c r="C146" t="s">
        <v>8</v>
      </c>
      <c r="D146" t="str">
        <f>VLOOKUP(Table1[[#This Row],[Dept Code]],Lookup_Departments!$A$1:$B$7,2,0)</f>
        <v>Information Technology</v>
      </c>
      <c r="E146" s="5">
        <v>43477</v>
      </c>
      <c r="F146" s="6">
        <f t="shared" ca="1" si="4"/>
        <v>7</v>
      </c>
      <c r="G146" s="7">
        <v>112887</v>
      </c>
      <c r="H146" s="6">
        <v>59</v>
      </c>
      <c r="I146" t="str">
        <f>VLOOKUP(H146,Lookup_Performance!$A$2:$D$6,3,TRUE)</f>
        <v>Developing</v>
      </c>
      <c r="J146" s="9">
        <f>IFERROR(G146*VLOOKUP(H146,Lookup_Performance!$A$2:$D$6,4,TRUE),0)</f>
        <v>2257.7400000000002</v>
      </c>
      <c r="K146" t="s">
        <v>289</v>
      </c>
    </row>
    <row r="147" spans="1:11" x14ac:dyDescent="0.25">
      <c r="A147" t="s">
        <v>162</v>
      </c>
      <c r="B147" s="2" t="s">
        <v>286</v>
      </c>
      <c r="C147" t="s">
        <v>13</v>
      </c>
      <c r="D147" t="str">
        <f>VLOOKUP(Table1[[#This Row],[Dept Code]],Lookup_Departments!$A$1:$B$7,2,0)</f>
        <v>Finance</v>
      </c>
      <c r="E147" s="5">
        <v>45037</v>
      </c>
      <c r="F147" s="6">
        <f t="shared" ca="1" si="4"/>
        <v>3</v>
      </c>
      <c r="G147" s="7">
        <v>85457</v>
      </c>
      <c r="H147" s="6">
        <v>79</v>
      </c>
      <c r="I147" t="str">
        <f>VLOOKUP(H147,Lookup_Performance!$A$2:$D$6,3,TRUE)</f>
        <v>Achieving</v>
      </c>
      <c r="J147" s="9">
        <f>IFERROR(G147*VLOOKUP(H147,Lookup_Performance!$A$2:$D$6,4,TRUE),0)</f>
        <v>4272.8500000000004</v>
      </c>
      <c r="K147" t="s">
        <v>289</v>
      </c>
    </row>
    <row r="148" spans="1:11" x14ac:dyDescent="0.25">
      <c r="A148" t="s">
        <v>163</v>
      </c>
      <c r="B148" s="2" t="s">
        <v>287</v>
      </c>
      <c r="C148" t="s">
        <v>23</v>
      </c>
      <c r="D148" t="str">
        <f>VLOOKUP(Table1[[#This Row],[Dept Code]],Lookup_Departments!$A$1:$B$7,2,0)</f>
        <v>Sales</v>
      </c>
      <c r="E148" s="5">
        <v>42519</v>
      </c>
      <c r="F148" s="6">
        <f t="shared" ca="1" si="4"/>
        <v>10</v>
      </c>
      <c r="G148" s="7">
        <v>62798</v>
      </c>
      <c r="H148" s="6">
        <v>30</v>
      </c>
      <c r="I148" t="str">
        <f>VLOOKUP(H148,Lookup_Performance!$A$2:$D$6,3,TRUE)</f>
        <v>Needs Improvement</v>
      </c>
      <c r="J148" s="9">
        <f>IFERROR(G148*VLOOKUP(H148,Lookup_Performance!$A$2:$D$6,4,TRUE),0)</f>
        <v>0</v>
      </c>
      <c r="K148" t="s">
        <v>289</v>
      </c>
    </row>
    <row r="149" spans="1:11" x14ac:dyDescent="0.25">
      <c r="A149" t="s">
        <v>164</v>
      </c>
      <c r="B149" s="2" t="s">
        <v>288</v>
      </c>
      <c r="C149" t="s">
        <v>17</v>
      </c>
      <c r="D149" t="str">
        <f>VLOOKUP(Table1[[#This Row],[Dept Code]],Lookup_Departments!$A$1:$B$7,2,0)</f>
        <v>Operations</v>
      </c>
      <c r="E149" s="5">
        <v>44711</v>
      </c>
      <c r="F149" s="6">
        <f t="shared" ca="1" si="4"/>
        <v>4</v>
      </c>
      <c r="G149" s="7">
        <v>47794</v>
      </c>
      <c r="H149" s="6">
        <v>73</v>
      </c>
      <c r="I149" t="str">
        <f>VLOOKUP(H149,Lookup_Performance!$A$2:$D$6,3,TRUE)</f>
        <v>Achieving</v>
      </c>
      <c r="J149" s="9">
        <f>IFERROR(G149*VLOOKUP(H149,Lookup_Performance!$A$2:$D$6,4,TRUE),0)</f>
        <v>2389.7000000000003</v>
      </c>
      <c r="K149" t="s">
        <v>290</v>
      </c>
    </row>
    <row r="150" spans="1:11" x14ac:dyDescent="0.25">
      <c r="A150" t="s">
        <v>165</v>
      </c>
      <c r="B150" s="2" t="s">
        <v>270</v>
      </c>
      <c r="C150" t="s">
        <v>10</v>
      </c>
      <c r="D150" t="str">
        <f>VLOOKUP(Table1[[#This Row],[Dept Code]],Lookup_Departments!$A$1:$B$7,2,0)</f>
        <v>Marketing</v>
      </c>
      <c r="E150" s="5">
        <v>42677</v>
      </c>
      <c r="F150" s="6">
        <f t="shared" ca="1" si="4"/>
        <v>9</v>
      </c>
      <c r="G150" s="7">
        <v>93094</v>
      </c>
      <c r="H150" s="6">
        <v>74</v>
      </c>
      <c r="I150" t="str">
        <f>VLOOKUP(H150,Lookup_Performance!$A$2:$D$6,3,TRUE)</f>
        <v>Achieving</v>
      </c>
      <c r="J150" s="9">
        <f>IFERROR(G150*VLOOKUP(H150,Lookup_Performance!$A$2:$D$6,4,TRUE),0)</f>
        <v>4654.7</v>
      </c>
      <c r="K150" t="s">
        <v>289</v>
      </c>
    </row>
    <row r="151" spans="1:11" x14ac:dyDescent="0.25">
      <c r="A151" t="s">
        <v>166</v>
      </c>
      <c r="B151" s="2" t="s">
        <v>267</v>
      </c>
      <c r="C151" t="s">
        <v>8</v>
      </c>
      <c r="D151" t="str">
        <f>VLOOKUP(Table1[[#This Row],[Dept Code]],Lookup_Departments!$A$1:$B$7,2,0)</f>
        <v>Information Technology</v>
      </c>
      <c r="E151" s="5">
        <v>44848</v>
      </c>
      <c r="F151" s="6">
        <f t="shared" ca="1" si="4"/>
        <v>3</v>
      </c>
      <c r="G151" s="7">
        <v>118634</v>
      </c>
      <c r="H151" s="6">
        <v>91</v>
      </c>
      <c r="I151" t="str">
        <f>VLOOKUP(H151,Lookup_Performance!$A$2:$D$6,3,TRUE)</f>
        <v>Exceeding</v>
      </c>
      <c r="J151" s="9">
        <f>IFERROR(G151*VLOOKUP(H151,Lookup_Performance!$A$2:$D$6,4,TRUE),0)</f>
        <v>9490.7199999999993</v>
      </c>
      <c r="K151" t="s">
        <v>289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8" sqref="A8"/>
    </sheetView>
  </sheetViews>
  <sheetFormatPr defaultRowHeight="15" x14ac:dyDescent="0.25"/>
  <cols>
    <col min="1" max="1" width="10.85546875" bestFit="1" customWidth="1"/>
    <col min="2" max="2" width="22.5703125" bestFit="1" customWidth="1"/>
  </cols>
  <sheetData>
    <row r="1" spans="1:2" x14ac:dyDescent="0.25">
      <c r="A1" s="1" t="s">
        <v>167</v>
      </c>
      <c r="B1" s="1" t="s">
        <v>168</v>
      </c>
    </row>
    <row r="2" spans="1:2" x14ac:dyDescent="0.25">
      <c r="A2" t="s">
        <v>50</v>
      </c>
      <c r="B2" t="s">
        <v>169</v>
      </c>
    </row>
    <row r="3" spans="1:2" x14ac:dyDescent="0.25">
      <c r="A3" t="s">
        <v>8</v>
      </c>
      <c r="B3" t="s">
        <v>170</v>
      </c>
    </row>
    <row r="4" spans="1:2" x14ac:dyDescent="0.25">
      <c r="A4" t="s">
        <v>13</v>
      </c>
      <c r="B4" t="s">
        <v>171</v>
      </c>
    </row>
    <row r="5" spans="1:2" x14ac:dyDescent="0.25">
      <c r="A5" t="s">
        <v>10</v>
      </c>
      <c r="B5" t="s">
        <v>172</v>
      </c>
    </row>
    <row r="6" spans="1:2" x14ac:dyDescent="0.25">
      <c r="A6" t="s">
        <v>23</v>
      </c>
      <c r="B6" t="s">
        <v>173</v>
      </c>
    </row>
    <row r="7" spans="1:2" x14ac:dyDescent="0.25">
      <c r="A7" t="s">
        <v>17</v>
      </c>
      <c r="B7" t="s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G15" sqref="G15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9.5703125" bestFit="1" customWidth="1"/>
    <col min="4" max="4" width="17.7109375" bestFit="1" customWidth="1"/>
  </cols>
  <sheetData>
    <row r="1" spans="1:4" x14ac:dyDescent="0.25">
      <c r="A1" s="1" t="s">
        <v>175</v>
      </c>
      <c r="B1" s="1" t="s">
        <v>176</v>
      </c>
      <c r="C1" s="1" t="s">
        <v>177</v>
      </c>
      <c r="D1" s="1" t="s">
        <v>178</v>
      </c>
    </row>
    <row r="2" spans="1:4" x14ac:dyDescent="0.25">
      <c r="A2">
        <v>0</v>
      </c>
      <c r="B2">
        <v>49</v>
      </c>
      <c r="C2" t="s">
        <v>179</v>
      </c>
      <c r="D2">
        <v>0</v>
      </c>
    </row>
    <row r="3" spans="1:4" x14ac:dyDescent="0.25">
      <c r="A3">
        <v>50</v>
      </c>
      <c r="B3">
        <v>69</v>
      </c>
      <c r="C3" t="s">
        <v>180</v>
      </c>
      <c r="D3">
        <v>0.02</v>
      </c>
    </row>
    <row r="4" spans="1:4" x14ac:dyDescent="0.25">
      <c r="A4">
        <v>70</v>
      </c>
      <c r="B4">
        <v>84</v>
      </c>
      <c r="C4" t="s">
        <v>181</v>
      </c>
      <c r="D4">
        <v>0.05</v>
      </c>
    </row>
    <row r="5" spans="1:4" x14ac:dyDescent="0.25">
      <c r="A5">
        <v>85</v>
      </c>
      <c r="B5">
        <v>94</v>
      </c>
      <c r="C5" t="s">
        <v>182</v>
      </c>
      <c r="D5">
        <v>0.08</v>
      </c>
    </row>
    <row r="6" spans="1:4" x14ac:dyDescent="0.25">
      <c r="A6">
        <v>95</v>
      </c>
      <c r="B6">
        <v>100</v>
      </c>
      <c r="C6" t="s">
        <v>183</v>
      </c>
      <c r="D6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C1FF-1E0E-4F79-B753-0521702E6C1B}">
  <dimension ref="A2:K21"/>
  <sheetViews>
    <sheetView topLeftCell="C1" workbookViewId="0">
      <selection activeCell="L18" sqref="L18"/>
    </sheetView>
  </sheetViews>
  <sheetFormatPr defaultRowHeight="15" x14ac:dyDescent="0.25"/>
  <cols>
    <col min="1" max="1" width="15.28515625" bestFit="1" customWidth="1"/>
    <col min="2" max="2" width="5.5703125" customWidth="1"/>
    <col min="3" max="3" width="22.5703125" bestFit="1" customWidth="1"/>
    <col min="4" max="4" width="16.42578125" bestFit="1" customWidth="1"/>
    <col min="5" max="5" width="6.7109375" customWidth="1"/>
    <col min="6" max="6" width="22.5703125" bestFit="1" customWidth="1"/>
    <col min="7" max="7" width="16.28515625" bestFit="1" customWidth="1"/>
    <col min="8" max="8" width="4.85546875" bestFit="1" customWidth="1"/>
    <col min="9" max="9" width="9.85546875" bestFit="1" customWidth="1"/>
    <col min="10" max="10" width="11.28515625" bestFit="1" customWidth="1"/>
    <col min="11" max="11" width="13.140625" bestFit="1" customWidth="1"/>
    <col min="12" max="94" width="9" bestFit="1" customWidth="1"/>
    <col min="95" max="132" width="10" bestFit="1" customWidth="1"/>
    <col min="133" max="133" width="12.7109375" bestFit="1" customWidth="1"/>
  </cols>
  <sheetData>
    <row r="2" spans="1:11" ht="15.75" x14ac:dyDescent="0.25">
      <c r="A2" s="10" t="s">
        <v>300</v>
      </c>
      <c r="C2" s="15" t="s">
        <v>302</v>
      </c>
      <c r="D2" s="15"/>
      <c r="F2" s="15" t="s">
        <v>303</v>
      </c>
      <c r="G2" s="15"/>
      <c r="H2" s="15"/>
      <c r="I2" s="15"/>
      <c r="J2" s="15"/>
    </row>
    <row r="3" spans="1:11" x14ac:dyDescent="0.25">
      <c r="A3" t="s">
        <v>298</v>
      </c>
      <c r="C3" s="8" t="s">
        <v>299</v>
      </c>
      <c r="D3" t="s">
        <v>301</v>
      </c>
      <c r="F3" s="8" t="s">
        <v>298</v>
      </c>
      <c r="G3" s="8" t="s">
        <v>296</v>
      </c>
    </row>
    <row r="4" spans="1:11" x14ac:dyDescent="0.25">
      <c r="A4">
        <v>150</v>
      </c>
      <c r="C4" s="4" t="s">
        <v>174</v>
      </c>
      <c r="D4" s="9">
        <v>79751.103448275855</v>
      </c>
      <c r="F4" s="8" t="s">
        <v>299</v>
      </c>
      <c r="G4" t="s">
        <v>289</v>
      </c>
      <c r="H4" t="s">
        <v>290</v>
      </c>
      <c r="I4" t="s">
        <v>291</v>
      </c>
      <c r="J4" t="s">
        <v>297</v>
      </c>
      <c r="K4" s="11" t="s">
        <v>304</v>
      </c>
    </row>
    <row r="5" spans="1:11" x14ac:dyDescent="0.25">
      <c r="C5" s="4" t="s">
        <v>170</v>
      </c>
      <c r="D5" s="9">
        <v>79911.027777777781</v>
      </c>
      <c r="F5" s="4" t="s">
        <v>171</v>
      </c>
      <c r="G5">
        <v>14</v>
      </c>
      <c r="H5">
        <v>3</v>
      </c>
      <c r="J5">
        <v>17</v>
      </c>
      <c r="K5" s="12">
        <f>H5/J5</f>
        <v>0.17647058823529413</v>
      </c>
    </row>
    <row r="6" spans="1:11" x14ac:dyDescent="0.25">
      <c r="C6" s="4" t="s">
        <v>172</v>
      </c>
      <c r="D6" s="9">
        <v>85179.894736842107</v>
      </c>
      <c r="F6" s="4" t="s">
        <v>169</v>
      </c>
      <c r="G6">
        <v>15</v>
      </c>
      <c r="H6">
        <v>2</v>
      </c>
      <c r="I6">
        <v>1</v>
      </c>
      <c r="J6">
        <v>18</v>
      </c>
      <c r="K6" s="12">
        <f t="shared" ref="K6:K11" si="0">H6/J6</f>
        <v>0.1111111111111111</v>
      </c>
    </row>
    <row r="7" spans="1:11" x14ac:dyDescent="0.25">
      <c r="C7" s="4" t="s">
        <v>173</v>
      </c>
      <c r="D7" s="9">
        <v>85214.903225806454</v>
      </c>
      <c r="F7" s="4" t="s">
        <v>170</v>
      </c>
      <c r="G7">
        <v>28</v>
      </c>
      <c r="H7">
        <v>6</v>
      </c>
      <c r="I7">
        <v>2</v>
      </c>
      <c r="J7">
        <v>36</v>
      </c>
      <c r="K7" s="12">
        <f t="shared" si="0"/>
        <v>0.16666666666666666</v>
      </c>
    </row>
    <row r="8" spans="1:11" x14ac:dyDescent="0.25">
      <c r="C8" s="4" t="s">
        <v>169</v>
      </c>
      <c r="D8" s="9">
        <v>85295.555555555562</v>
      </c>
      <c r="F8" s="4" t="s">
        <v>172</v>
      </c>
      <c r="G8">
        <v>16</v>
      </c>
      <c r="H8">
        <v>3</v>
      </c>
      <c r="J8">
        <v>19</v>
      </c>
      <c r="K8" s="12">
        <f t="shared" si="0"/>
        <v>0.15789473684210525</v>
      </c>
    </row>
    <row r="9" spans="1:11" x14ac:dyDescent="0.25">
      <c r="C9" s="4" t="s">
        <v>171</v>
      </c>
      <c r="D9" s="9">
        <v>86408.941176470587</v>
      </c>
      <c r="F9" s="4" t="s">
        <v>174</v>
      </c>
      <c r="G9">
        <v>18</v>
      </c>
      <c r="H9">
        <v>6</v>
      </c>
      <c r="I9">
        <v>5</v>
      </c>
      <c r="J9">
        <v>29</v>
      </c>
      <c r="K9" s="12">
        <f t="shared" si="0"/>
        <v>0.20689655172413793</v>
      </c>
    </row>
    <row r="10" spans="1:11" x14ac:dyDescent="0.25">
      <c r="C10" s="4" t="s">
        <v>297</v>
      </c>
      <c r="D10" s="9">
        <v>83026.206666666665</v>
      </c>
      <c r="F10" s="4" t="s">
        <v>173</v>
      </c>
      <c r="G10">
        <v>25</v>
      </c>
      <c r="H10">
        <v>4</v>
      </c>
      <c r="I10">
        <v>2</v>
      </c>
      <c r="J10">
        <v>31</v>
      </c>
      <c r="K10" s="12">
        <f t="shared" si="0"/>
        <v>0.12903225806451613</v>
      </c>
    </row>
    <row r="11" spans="1:11" x14ac:dyDescent="0.25">
      <c r="F11" s="4" t="s">
        <v>297</v>
      </c>
      <c r="G11">
        <v>116</v>
      </c>
      <c r="H11">
        <v>24</v>
      </c>
      <c r="I11">
        <v>10</v>
      </c>
      <c r="J11">
        <v>150</v>
      </c>
      <c r="K11" s="12">
        <f t="shared" si="0"/>
        <v>0.16</v>
      </c>
    </row>
    <row r="12" spans="1:11" x14ac:dyDescent="0.25">
      <c r="F12" s="4"/>
      <c r="K12" s="12"/>
    </row>
    <row r="14" spans="1:11" ht="15.75" x14ac:dyDescent="0.25">
      <c r="C14" s="15" t="s">
        <v>306</v>
      </c>
      <c r="D14" s="15"/>
      <c r="F14" s="15" t="s">
        <v>308</v>
      </c>
      <c r="G14" s="15"/>
    </row>
    <row r="15" spans="1:11" x14ac:dyDescent="0.25">
      <c r="C15" s="8" t="s">
        <v>299</v>
      </c>
      <c r="D15" t="s">
        <v>305</v>
      </c>
      <c r="F15" s="8" t="s">
        <v>299</v>
      </c>
      <c r="G15" s="14" t="s">
        <v>307</v>
      </c>
    </row>
    <row r="16" spans="1:11" x14ac:dyDescent="0.25">
      <c r="C16" s="4" t="s">
        <v>289</v>
      </c>
      <c r="D16" s="13">
        <v>67.862068965517238</v>
      </c>
      <c r="F16" s="4" t="s">
        <v>181</v>
      </c>
      <c r="G16" s="9">
        <v>196829.55000000002</v>
      </c>
    </row>
    <row r="17" spans="3:7" x14ac:dyDescent="0.25">
      <c r="C17" s="4" t="s">
        <v>290</v>
      </c>
      <c r="D17" s="13">
        <v>66.291666666666671</v>
      </c>
      <c r="F17" s="4" t="s">
        <v>180</v>
      </c>
      <c r="G17" s="9">
        <v>70821.66</v>
      </c>
    </row>
    <row r="18" spans="3:7" x14ac:dyDescent="0.25">
      <c r="C18" s="4" t="s">
        <v>291</v>
      </c>
      <c r="D18" s="13">
        <v>76.400000000000006</v>
      </c>
      <c r="F18" s="4" t="s">
        <v>182</v>
      </c>
      <c r="G18" s="9">
        <v>143996.16</v>
      </c>
    </row>
    <row r="19" spans="3:7" x14ac:dyDescent="0.25">
      <c r="C19" s="4" t="s">
        <v>297</v>
      </c>
      <c r="D19" s="13">
        <v>68.180000000000007</v>
      </c>
      <c r="F19" s="4" t="s">
        <v>179</v>
      </c>
      <c r="G19" s="9">
        <v>0</v>
      </c>
    </row>
    <row r="20" spans="3:7" x14ac:dyDescent="0.25">
      <c r="F20" s="4" t="s">
        <v>183</v>
      </c>
      <c r="G20" s="9">
        <v>91891.560000000012</v>
      </c>
    </row>
    <row r="21" spans="3:7" x14ac:dyDescent="0.25">
      <c r="F21" s="4" t="s">
        <v>297</v>
      </c>
      <c r="G21" s="9">
        <v>503538.93</v>
      </c>
    </row>
  </sheetData>
  <mergeCells count="4">
    <mergeCell ref="F14:G14"/>
    <mergeCell ref="C2:D2"/>
    <mergeCell ref="F2:J2"/>
    <mergeCell ref="C14:D14"/>
  </mergeCells>
  <pageMargins left="0.7" right="0.7" top="0.75" bottom="0.75" header="0.3" footer="0.3"/>
  <pageSetup orientation="portrait" horizontalDpi="4294967293" verticalDpi="0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2B48-A9B4-454A-B0DE-8FE3AEAADA52}">
  <dimension ref="A1"/>
  <sheetViews>
    <sheetView topLeftCell="A10" workbookViewId="0">
      <selection activeCell="T12" sqref="T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9960-16D8-45FC-A7D9-10EA205B0103}">
  <dimension ref="A1"/>
  <sheetViews>
    <sheetView showGridLines="0" tabSelected="1" zoomScaleNormal="100" workbookViewId="0">
      <selection activeCell="Q17" sqref="Q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Raw_Employee_Data</vt:lpstr>
      <vt:lpstr>Lookup_Departments</vt:lpstr>
      <vt:lpstr>Lookup_Performance</vt:lpstr>
      <vt:lpstr>Analysis</vt:lpstr>
      <vt:lpstr>Pivot Chart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 easynett</cp:lastModifiedBy>
  <dcterms:created xsi:type="dcterms:W3CDTF">2026-06-04T20:20:01Z</dcterms:created>
  <dcterms:modified xsi:type="dcterms:W3CDTF">2026-07-06T16:34:14Z</dcterms:modified>
</cp:coreProperties>
</file>